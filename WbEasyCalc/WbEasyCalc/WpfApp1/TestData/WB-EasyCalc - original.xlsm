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hidePivotFieldList="1" defaultThemeVersion="124226"/>
  <mc:AlternateContent xmlns:mc="http://schemas.openxmlformats.org/markup-compatibility/2006">
    <mc:Choice Requires="x15">
      <x15ac:absPath xmlns:x15ac="http://schemas.microsoft.com/office/spreadsheetml/2010/11/ac" url="C:\Users\rolan\Documents\WB EasyCalc\"/>
    </mc:Choice>
  </mc:AlternateContent>
  <bookViews>
    <workbookView xWindow="10800" yWindow="-20" windowWidth="10850" windowHeight="9210" tabRatio="744"/>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Input'!$A$1:$G$80</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 name="OLE_LINK1" localSheetId="18">'Language 2'!$U$150</definedName>
  </definedNames>
  <calcPr calcId="152511"/>
</workbook>
</file>

<file path=xl/calcChain.xml><?xml version="1.0" encoding="utf-8"?>
<calcChain xmlns="http://schemas.openxmlformats.org/spreadsheetml/2006/main">
  <c r="M34" i="17" l="1"/>
  <c r="K34" i="17"/>
  <c r="C41" i="28" l="1"/>
  <c r="F44" i="27" l="1"/>
  <c r="J44" i="27"/>
  <c r="G44" i="27"/>
  <c r="C202" i="18"/>
  <c r="L6" i="10" l="1"/>
  <c r="P6" i="10" s="1"/>
  <c r="Q6" i="10" s="1"/>
  <c r="L10" i="10"/>
  <c r="L14" i="10"/>
  <c r="L18" i="10"/>
  <c r="L19" i="10"/>
  <c r="L20" i="10"/>
  <c r="L21" i="10"/>
  <c r="L22" i="10"/>
  <c r="H32" i="9"/>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AC14" i="31"/>
  <c r="G13" i="22"/>
  <c r="C183" i="18"/>
  <c r="AC14" i="30"/>
  <c r="C14" i="28"/>
  <c r="AC14" i="29"/>
  <c r="AF1" i="29"/>
  <c r="K35" i="22"/>
  <c r="D79" i="7"/>
  <c r="C1" i="28"/>
  <c r="C42" i="28"/>
  <c r="C4" i="11"/>
  <c r="C7" i="11" s="1"/>
  <c r="U32" i="14" s="1"/>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c r="G50" i="27"/>
  <c r="G53" i="27" s="1"/>
  <c r="H11" i="13"/>
  <c r="H9" i="13"/>
  <c r="K8" i="22"/>
  <c r="K31" i="22" s="1"/>
  <c r="I24" i="21"/>
  <c r="I23" i="21"/>
  <c r="I22" i="21"/>
  <c r="I21" i="21"/>
  <c r="I20" i="21"/>
  <c r="I19" i="21"/>
  <c r="I18" i="21"/>
  <c r="I17" i="21"/>
  <c r="I16" i="21"/>
  <c r="I15" i="21"/>
  <c r="I14" i="21"/>
  <c r="I13" i="21"/>
  <c r="I12" i="21"/>
  <c r="I11" i="21"/>
  <c r="I10" i="21"/>
  <c r="I9" i="21"/>
  <c r="I8" i="21"/>
  <c r="D28" i="6"/>
  <c r="D33" i="6" s="1"/>
  <c r="D37" i="6" s="1"/>
  <c r="C23" i="28" s="1"/>
  <c r="J21" i="6"/>
  <c r="H21" i="6"/>
  <c r="H30" i="6" s="1"/>
  <c r="M15" i="6"/>
  <c r="N15" i="6" s="1"/>
  <c r="M7" i="6"/>
  <c r="N7" i="6" s="1"/>
  <c r="R40" i="12"/>
  <c r="S40" i="12" s="1"/>
  <c r="F34" i="12"/>
  <c r="L34" i="12"/>
  <c r="R34" i="12"/>
  <c r="S34" i="12"/>
  <c r="F32" i="12"/>
  <c r="L32" i="12"/>
  <c r="R32" i="12"/>
  <c r="S32" i="12"/>
  <c r="L28" i="12"/>
  <c r="R28" i="12" s="1"/>
  <c r="S28" i="12" s="1"/>
  <c r="L27" i="12"/>
  <c r="R27" i="12" s="1"/>
  <c r="S27" i="12" s="1"/>
  <c r="L26" i="12"/>
  <c r="R26" i="12" s="1"/>
  <c r="S26" i="12" s="1"/>
  <c r="L25" i="12"/>
  <c r="R25" i="12" s="1"/>
  <c r="S25" i="12" s="1"/>
  <c r="L24" i="12"/>
  <c r="R24" i="12" s="1"/>
  <c r="S24" i="12" s="1"/>
  <c r="L23" i="12"/>
  <c r="R23" i="12"/>
  <c r="S23" i="12" s="1"/>
  <c r="L22" i="12"/>
  <c r="R22" i="12" s="1"/>
  <c r="S22" i="12" s="1"/>
  <c r="L21" i="12"/>
  <c r="R21" i="12" s="1"/>
  <c r="S21" i="12" s="1"/>
  <c r="L20" i="12"/>
  <c r="R20" i="12" s="1"/>
  <c r="S20" i="12" s="1"/>
  <c r="L19" i="12"/>
  <c r="R19" i="12" s="1"/>
  <c r="S19" i="12" s="1"/>
  <c r="L18" i="12"/>
  <c r="R18" i="12" s="1"/>
  <c r="S18" i="12" s="1"/>
  <c r="L17" i="12"/>
  <c r="R17" i="12" s="1"/>
  <c r="S17" i="12" s="1"/>
  <c r="L16" i="12"/>
  <c r="R16" i="12" s="1"/>
  <c r="S16" i="12" s="1"/>
  <c r="L15" i="12"/>
  <c r="R15" i="12" s="1"/>
  <c r="S15" i="12" s="1"/>
  <c r="L14" i="12"/>
  <c r="R14" i="12" s="1"/>
  <c r="S14" i="12" s="1"/>
  <c r="L13" i="12"/>
  <c r="R13" i="12" s="1"/>
  <c r="S13" i="12" s="1"/>
  <c r="L12" i="12"/>
  <c r="R12" i="12" s="1"/>
  <c r="S12" i="12" s="1"/>
  <c r="F8" i="12"/>
  <c r="L8" i="12" s="1"/>
  <c r="R8" i="12" s="1"/>
  <c r="S8" i="12" s="1"/>
  <c r="P22" i="10"/>
  <c r="Q22" i="10"/>
  <c r="P21" i="10"/>
  <c r="Q21" i="10"/>
  <c r="P20" i="10"/>
  <c r="Q20" i="10"/>
  <c r="P19" i="10"/>
  <c r="Q19" i="10"/>
  <c r="P18" i="10"/>
  <c r="Q18" i="10"/>
  <c r="P14" i="10"/>
  <c r="Q14" i="10" s="1"/>
  <c r="P10" i="10"/>
  <c r="Q10" i="10" s="1"/>
  <c r="D32" i="9"/>
  <c r="P23" i="9"/>
  <c r="O23" i="9"/>
  <c r="O22" i="9"/>
  <c r="P22" i="9"/>
  <c r="O21" i="9"/>
  <c r="P21" i="9"/>
  <c r="O20" i="9"/>
  <c r="P20" i="9"/>
  <c r="P19" i="9"/>
  <c r="O19" i="9"/>
  <c r="O18" i="9"/>
  <c r="P18" i="9"/>
  <c r="O17" i="9"/>
  <c r="P17" i="9"/>
  <c r="O16" i="9"/>
  <c r="P16" i="9"/>
  <c r="P15" i="9"/>
  <c r="O15" i="9"/>
  <c r="O14" i="9"/>
  <c r="P14" i="9"/>
  <c r="O13" i="9"/>
  <c r="P13" i="9"/>
  <c r="O12" i="9"/>
  <c r="P12" i="9"/>
  <c r="O11" i="9"/>
  <c r="P11" i="9"/>
  <c r="O10" i="9"/>
  <c r="P10" i="9"/>
  <c r="O9" i="9"/>
  <c r="P9" i="9"/>
  <c r="O8" i="9"/>
  <c r="P8" i="9"/>
  <c r="P7" i="9"/>
  <c r="O7" i="9"/>
  <c r="H28" i="8"/>
  <c r="AC9" i="29" s="1"/>
  <c r="D28" i="8"/>
  <c r="J70" i="7"/>
  <c r="K70" i="7"/>
  <c r="K69" i="7"/>
  <c r="J69" i="7"/>
  <c r="J68" i="7"/>
  <c r="K68" i="7"/>
  <c r="J67" i="7"/>
  <c r="K67" i="7"/>
  <c r="J66" i="7"/>
  <c r="K66" i="7"/>
  <c r="K65" i="7"/>
  <c r="J65" i="7"/>
  <c r="J64" i="7"/>
  <c r="K64" i="7"/>
  <c r="J63" i="7"/>
  <c r="K63" i="7"/>
  <c r="J62" i="7"/>
  <c r="K62" i="7"/>
  <c r="K61" i="7"/>
  <c r="J61" i="7"/>
  <c r="J60" i="7"/>
  <c r="K60" i="7"/>
  <c r="J59" i="7"/>
  <c r="K59" i="7"/>
  <c r="J58" i="7"/>
  <c r="K58" i="7"/>
  <c r="K57" i="7"/>
  <c r="J57" i="7"/>
  <c r="J56" i="7"/>
  <c r="K56" i="7"/>
  <c r="J55" i="7"/>
  <c r="K55" i="7"/>
  <c r="J54" i="7"/>
  <c r="K54" i="7"/>
  <c r="K53" i="7"/>
  <c r="J53" i="7"/>
  <c r="J52" i="7"/>
  <c r="K52" i="7"/>
  <c r="J51" i="7"/>
  <c r="K51" i="7"/>
  <c r="J50" i="7"/>
  <c r="K50" i="7"/>
  <c r="K49" i="7"/>
  <c r="J49" i="7"/>
  <c r="J48" i="7"/>
  <c r="K48" i="7"/>
  <c r="J47" i="7"/>
  <c r="K47" i="7"/>
  <c r="J46" i="7"/>
  <c r="K46" i="7"/>
  <c r="K45" i="7"/>
  <c r="J45" i="7"/>
  <c r="J44" i="7"/>
  <c r="K44" i="7"/>
  <c r="J43" i="7"/>
  <c r="K43" i="7"/>
  <c r="J42" i="7"/>
  <c r="K42" i="7"/>
  <c r="K41" i="7"/>
  <c r="J41" i="7"/>
  <c r="J40" i="7"/>
  <c r="K40" i="7"/>
  <c r="J39" i="7"/>
  <c r="K39" i="7"/>
  <c r="J38" i="7"/>
  <c r="K38" i="7"/>
  <c r="K37" i="7"/>
  <c r="J37" i="7"/>
  <c r="J36" i="7"/>
  <c r="K36" i="7"/>
  <c r="J35" i="7"/>
  <c r="K35" i="7"/>
  <c r="J34" i="7"/>
  <c r="K34" i="7"/>
  <c r="K33" i="7"/>
  <c r="J33" i="7"/>
  <c r="J32" i="7"/>
  <c r="K32" i="7"/>
  <c r="J31" i="7"/>
  <c r="K31" i="7"/>
  <c r="J30" i="7"/>
  <c r="K30" i="7"/>
  <c r="K29" i="7"/>
  <c r="J29" i="7"/>
  <c r="J28" i="7"/>
  <c r="K28" i="7"/>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J6" i="7"/>
  <c r="K6" i="7" s="1"/>
  <c r="T15" i="13"/>
  <c r="AC9" i="30"/>
  <c r="C13" i="28" s="1"/>
  <c r="AC4" i="31"/>
  <c r="AC4" i="29"/>
  <c r="AC4" i="30"/>
  <c r="C12" i="28" s="1"/>
  <c r="B19" i="31"/>
  <c r="B19" i="29"/>
  <c r="B19" i="30"/>
  <c r="F33" i="27" s="1"/>
  <c r="F38" i="12"/>
  <c r="L38" i="12" s="1"/>
  <c r="R38" i="12" s="1"/>
  <c r="S38" i="12" s="1"/>
  <c r="D35" i="6"/>
  <c r="R15" i="13" s="1"/>
  <c r="O6" i="9"/>
  <c r="P6" i="9" s="1"/>
  <c r="P25" i="9" s="1"/>
  <c r="O25" i="9" s="1"/>
  <c r="C3" i="28"/>
  <c r="K17" i="22" l="1"/>
  <c r="K20" i="22" s="1"/>
  <c r="T8" i="30"/>
  <c r="F30" i="27" s="1"/>
  <c r="F50" i="27" s="1"/>
  <c r="T8" i="29"/>
  <c r="AY8" i="29" s="1"/>
  <c r="K15" i="22"/>
  <c r="K22" i="22"/>
  <c r="K13" i="22"/>
  <c r="F27" i="27"/>
  <c r="I27" i="27" s="1"/>
  <c r="M18" i="6"/>
  <c r="N18" i="6" s="1"/>
  <c r="N22" i="6" s="1"/>
  <c r="M24" i="6" s="1"/>
  <c r="J24" i="6" s="1"/>
  <c r="H28" i="6" s="1"/>
  <c r="AC9" i="31"/>
  <c r="T8" i="31" s="1"/>
  <c r="AY8" i="31" s="1"/>
  <c r="AY24" i="31" s="1"/>
  <c r="F47" i="13" s="1"/>
  <c r="C7" i="28"/>
  <c r="AC19" i="31"/>
  <c r="J25" i="9"/>
  <c r="H30" i="9" s="1"/>
  <c r="AC19" i="29"/>
  <c r="T16" i="29" s="1"/>
  <c r="AC19" i="30"/>
  <c r="K72" i="7"/>
  <c r="J72" i="7" s="1"/>
  <c r="F72" i="7" s="1"/>
  <c r="B21" i="29" s="1"/>
  <c r="BL25" i="29" s="1"/>
  <c r="BM25" i="29" s="1"/>
  <c r="AY24" i="29"/>
  <c r="S42" i="12"/>
  <c r="R42" i="12" s="1"/>
  <c r="L49" i="12"/>
  <c r="C129" i="11"/>
  <c r="D19" i="16" s="1"/>
  <c r="C5" i="11"/>
  <c r="C128" i="11"/>
  <c r="O2" i="28" s="1"/>
  <c r="C64" i="11"/>
  <c r="C182" i="11"/>
  <c r="C59" i="27" s="1"/>
  <c r="C118" i="11"/>
  <c r="B17" i="14" s="1"/>
  <c r="C54" i="11"/>
  <c r="B2" i="6" s="1"/>
  <c r="C71" i="11"/>
  <c r="U21" i="14" s="1"/>
  <c r="C208" i="11"/>
  <c r="C173" i="11"/>
  <c r="C113" i="11"/>
  <c r="C53" i="11"/>
  <c r="B49" i="13" s="1"/>
  <c r="A40" i="28" s="1"/>
  <c r="C176" i="11"/>
  <c r="C52" i="27" s="1"/>
  <c r="C112" i="11"/>
  <c r="B14" i="10" s="1"/>
  <c r="C48" i="11"/>
  <c r="B51" i="13" s="1"/>
  <c r="A41" i="28" s="1"/>
  <c r="C166" i="11"/>
  <c r="C102" i="11"/>
  <c r="D32" i="12" s="1"/>
  <c r="C38" i="11"/>
  <c r="B21" i="13" s="1"/>
  <c r="C155" i="11"/>
  <c r="B1" i="29" s="1"/>
  <c r="C83" i="11"/>
  <c r="G4" i="22" s="1"/>
  <c r="C15" i="11"/>
  <c r="U5" i="14" s="1"/>
  <c r="C79" i="11"/>
  <c r="B74" i="7" s="1"/>
  <c r="C143" i="11"/>
  <c r="B15" i="15" s="1"/>
  <c r="C23" i="11"/>
  <c r="C87" i="11"/>
  <c r="G11" i="22" s="1"/>
  <c r="C151" i="11"/>
  <c r="C35" i="11"/>
  <c r="C99" i="11"/>
  <c r="C163" i="11"/>
  <c r="C43" i="11"/>
  <c r="P23" i="13" s="1"/>
  <c r="C107" i="11"/>
  <c r="B31" i="13" s="1"/>
  <c r="A32" i="28" s="1"/>
  <c r="C171" i="11"/>
  <c r="J38" i="27" s="1"/>
  <c r="C10" i="11"/>
  <c r="C26" i="11"/>
  <c r="AC18" i="29" s="1"/>
  <c r="C42" i="11"/>
  <c r="N45" i="13" s="1"/>
  <c r="C58" i="11"/>
  <c r="H4" i="6" s="1"/>
  <c r="C74" i="11"/>
  <c r="F4" i="5" s="1"/>
  <c r="C90" i="11"/>
  <c r="B6" i="9" s="1"/>
  <c r="C106" i="11"/>
  <c r="D40" i="12" s="1"/>
  <c r="C122" i="11"/>
  <c r="C138" i="11"/>
  <c r="B9" i="15" s="1"/>
  <c r="C154" i="11"/>
  <c r="B39" i="13" s="1"/>
  <c r="A36" i="28" s="1"/>
  <c r="C170" i="11"/>
  <c r="G27" i="27" s="1"/>
  <c r="C186" i="11"/>
  <c r="B43" i="13" s="1"/>
  <c r="C20" i="11"/>
  <c r="T13" i="30" s="1"/>
  <c r="A8" i="28" s="1"/>
  <c r="C36" i="11"/>
  <c r="B5" i="13" s="1"/>
  <c r="C52" i="11"/>
  <c r="B47" i="13" s="1"/>
  <c r="A39" i="28" s="1"/>
  <c r="C68" i="11"/>
  <c r="F32" i="6" s="1"/>
  <c r="C84" i="11"/>
  <c r="K4" i="22" s="1"/>
  <c r="C100" i="11"/>
  <c r="H36" i="12" s="1"/>
  <c r="C116" i="11"/>
  <c r="C132" i="11"/>
  <c r="D22" i="16" s="1"/>
  <c r="C148" i="11"/>
  <c r="F18" i="6" s="1"/>
  <c r="C164" i="11"/>
  <c r="C180" i="11"/>
  <c r="J59" i="27" s="1"/>
  <c r="C9" i="11"/>
  <c r="U19" i="14" s="1"/>
  <c r="C25" i="11"/>
  <c r="B2" i="9" s="1"/>
  <c r="C41" i="11"/>
  <c r="N21" i="13" s="1"/>
  <c r="C69" i="11"/>
  <c r="F39" i="6" s="1"/>
  <c r="C85" i="11"/>
  <c r="C101" i="11"/>
  <c r="D8" i="12" s="1"/>
  <c r="C117" i="11"/>
  <c r="C133" i="11"/>
  <c r="B4" i="15" s="1"/>
  <c r="C149" i="11"/>
  <c r="B21" i="14" s="1"/>
  <c r="C165" i="11"/>
  <c r="H56" i="27" s="1"/>
  <c r="C177" i="11"/>
  <c r="C55" i="27" s="1"/>
  <c r="C203" i="11"/>
  <c r="C200" i="11"/>
  <c r="C13" i="27" s="1"/>
  <c r="C193" i="11"/>
  <c r="B2" i="32" s="1"/>
  <c r="C199" i="11"/>
  <c r="U36" i="14" s="1"/>
  <c r="C198" i="11"/>
  <c r="C2" i="28" s="1"/>
  <c r="C31" i="11"/>
  <c r="J47" i="27" s="1"/>
  <c r="C95" i="11"/>
  <c r="F10" i="12" s="1"/>
  <c r="C159" i="11"/>
  <c r="C39" i="11"/>
  <c r="B33" i="13" s="1"/>
  <c r="C103" i="11"/>
  <c r="D34" i="12" s="1"/>
  <c r="C167" i="11"/>
  <c r="D11" i="27" s="1"/>
  <c r="C51" i="11"/>
  <c r="B37" i="13" s="1"/>
  <c r="A35" i="28" s="1"/>
  <c r="C115" i="11"/>
  <c r="S25" i="14" s="1"/>
  <c r="C179" i="11"/>
  <c r="J56" i="27" s="1"/>
  <c r="C59" i="11"/>
  <c r="B28" i="6" s="1"/>
  <c r="C123" i="11"/>
  <c r="B2" i="16" s="1"/>
  <c r="C187" i="11"/>
  <c r="D18" i="16" s="1"/>
  <c r="C14" i="11"/>
  <c r="U15" i="14" s="1"/>
  <c r="C30" i="11"/>
  <c r="T18" i="29" s="1"/>
  <c r="C46" i="11"/>
  <c r="B17" i="13" s="1"/>
  <c r="C62" i="11"/>
  <c r="F28" i="9" s="1"/>
  <c r="C78" i="11"/>
  <c r="B4" i="7" s="1"/>
  <c r="C94" i="11"/>
  <c r="J4" i="10" s="1"/>
  <c r="C110" i="11"/>
  <c r="B6" i="10" s="1"/>
  <c r="C126" i="11"/>
  <c r="D5" i="32" s="1"/>
  <c r="C142" i="11"/>
  <c r="B14" i="15" s="1"/>
  <c r="C158" i="11"/>
  <c r="C11" i="27" s="1"/>
  <c r="C174" i="11"/>
  <c r="C26" i="27" s="1"/>
  <c r="C8" i="11"/>
  <c r="U17" i="14" s="1"/>
  <c r="C24" i="11"/>
  <c r="C40" i="11"/>
  <c r="C56" i="11"/>
  <c r="C72" i="11"/>
  <c r="B4" i="5" s="1"/>
  <c r="C88" i="11"/>
  <c r="B31" i="22" s="1"/>
  <c r="C104" i="11"/>
  <c r="C120" i="11"/>
  <c r="C136" i="11"/>
  <c r="B7" i="15" s="1"/>
  <c r="C152" i="11"/>
  <c r="U26" i="14" s="1"/>
  <c r="C168" i="11"/>
  <c r="D17" i="27" s="1"/>
  <c r="C184" i="11"/>
  <c r="F7" i="6" s="1"/>
  <c r="C13" i="11"/>
  <c r="U13" i="14" s="1"/>
  <c r="C29" i="11"/>
  <c r="C45" i="11"/>
  <c r="C57" i="11"/>
  <c r="D4" i="6" s="1"/>
  <c r="C73" i="11"/>
  <c r="C89" i="11"/>
  <c r="B35" i="22" s="1"/>
  <c r="C105" i="11"/>
  <c r="D38" i="12" s="1"/>
  <c r="C121" i="11"/>
  <c r="C137" i="11"/>
  <c r="B8" i="15" s="1"/>
  <c r="C153" i="11"/>
  <c r="B1" i="30" s="1"/>
  <c r="C181" i="11"/>
  <c r="C207" i="11"/>
  <c r="C191" i="11"/>
  <c r="D21" i="32" s="1"/>
  <c r="C197" i="11"/>
  <c r="D1" i="28" s="1"/>
  <c r="E1" i="28" s="1"/>
  <c r="F1" i="28" s="1"/>
  <c r="G1" i="28" s="1"/>
  <c r="H1" i="28" s="1"/>
  <c r="I1" i="28" s="1"/>
  <c r="J1" i="28" s="1"/>
  <c r="K1" i="28" s="1"/>
  <c r="L1" i="28" s="1"/>
  <c r="M1" i="28" s="1"/>
  <c r="C205" i="11"/>
  <c r="C206" i="11"/>
  <c r="C47" i="11"/>
  <c r="B19" i="13" s="1"/>
  <c r="C111" i="11"/>
  <c r="B10" i="10" s="1"/>
  <c r="C175" i="11"/>
  <c r="C49" i="27" s="1"/>
  <c r="C55" i="11"/>
  <c r="F2" i="6" s="1"/>
  <c r="C119" i="11"/>
  <c r="N17" i="14" s="1"/>
  <c r="C183" i="11"/>
  <c r="C67" i="11"/>
  <c r="C131" i="11"/>
  <c r="D21" i="16" s="1"/>
  <c r="C11" i="11"/>
  <c r="C75" i="11"/>
  <c r="F4" i="21" s="1"/>
  <c r="C139" i="11"/>
  <c r="B11" i="15" s="1"/>
  <c r="C18" i="11"/>
  <c r="K28" i="29" s="1"/>
  <c r="C34" i="11"/>
  <c r="J15" i="13" s="1"/>
  <c r="C50" i="11"/>
  <c r="B25" i="13" s="1"/>
  <c r="A29" i="28" s="1"/>
  <c r="C66" i="11"/>
  <c r="F21" i="6" s="1"/>
  <c r="C82" i="11"/>
  <c r="B8" i="22" s="1"/>
  <c r="C98" i="11"/>
  <c r="B26" i="10" s="1"/>
  <c r="C114" i="11"/>
  <c r="S7" i="14" s="1"/>
  <c r="C130" i="11"/>
  <c r="D20" i="16" s="1"/>
  <c r="C146" i="11"/>
  <c r="B18" i="15" s="1"/>
  <c r="C162" i="11"/>
  <c r="J9" i="27" s="1"/>
  <c r="C178" i="11"/>
  <c r="C58" i="27" s="1"/>
  <c r="C12" i="11"/>
  <c r="U11" i="14" s="1"/>
  <c r="C28" i="11"/>
  <c r="AY3" i="31" s="1"/>
  <c r="C44" i="11"/>
  <c r="C60" i="11"/>
  <c r="B30" i="6" s="1"/>
  <c r="C76" i="11"/>
  <c r="H4" i="21" s="1"/>
  <c r="C92" i="11"/>
  <c r="D4" i="10" s="1"/>
  <c r="C108" i="11"/>
  <c r="F27" i="9" s="1"/>
  <c r="C124" i="11"/>
  <c r="C140" i="11"/>
  <c r="B12" i="15" s="1"/>
  <c r="C156" i="11"/>
  <c r="U30" i="14" s="1"/>
  <c r="C172" i="11"/>
  <c r="C188" i="11"/>
  <c r="D18" i="32" s="1"/>
  <c r="C17" i="11"/>
  <c r="C33" i="11"/>
  <c r="C49" i="11"/>
  <c r="B29" i="13" s="1"/>
  <c r="A31" i="28" s="1"/>
  <c r="C61" i="11"/>
  <c r="B32" i="6" s="1"/>
  <c r="A23" i="28" s="1"/>
  <c r="C77" i="11"/>
  <c r="C93" i="11"/>
  <c r="H4" i="10" s="1"/>
  <c r="C109" i="11"/>
  <c r="J16" i="10" s="1"/>
  <c r="C125" i="11"/>
  <c r="C141" i="11"/>
  <c r="B13" i="15" s="1"/>
  <c r="C157" i="11"/>
  <c r="C9" i="27" s="1"/>
  <c r="C169" i="11"/>
  <c r="G7" i="27" s="1"/>
  <c r="C185" i="11"/>
  <c r="B41" i="13" s="1"/>
  <c r="A37" i="28" s="1"/>
  <c r="C192" i="11"/>
  <c r="D22" i="32" s="1"/>
  <c r="C204" i="11"/>
  <c r="C201" i="11"/>
  <c r="J13" i="27" s="1"/>
  <c r="C190" i="11"/>
  <c r="D20" i="32" s="1"/>
  <c r="C195" i="11"/>
  <c r="B26" i="22" s="1"/>
  <c r="C196" i="11"/>
  <c r="A1" i="28" s="1"/>
  <c r="C161" i="11"/>
  <c r="C21" i="27" s="1"/>
  <c r="C97" i="11"/>
  <c r="J12" i="10" s="1"/>
  <c r="C37" i="11"/>
  <c r="B13" i="13" s="1"/>
  <c r="C160" i="11"/>
  <c r="C5" i="27" s="1"/>
  <c r="C96" i="11"/>
  <c r="J8" i="10" s="1"/>
  <c r="C32" i="11"/>
  <c r="F45" i="13" s="1"/>
  <c r="C150" i="11"/>
  <c r="AJ1" i="29" s="1"/>
  <c r="C86" i="11"/>
  <c r="B11" i="22" s="1"/>
  <c r="C22" i="11"/>
  <c r="B22" i="22" s="1"/>
  <c r="C91" i="11"/>
  <c r="H4" i="9" s="1"/>
  <c r="C19" i="11"/>
  <c r="T3" i="29" s="1"/>
  <c r="C127" i="11"/>
  <c r="K5" i="16" s="1"/>
  <c r="C202" i="11"/>
  <c r="C43" i="27" s="1"/>
  <c r="C65" i="11"/>
  <c r="F10" i="6" s="1"/>
  <c r="C147" i="11"/>
  <c r="D6" i="12" s="1"/>
  <c r="C194" i="11"/>
  <c r="B24" i="22" s="1"/>
  <c r="C189" i="11"/>
  <c r="D19" i="32" s="1"/>
  <c r="C145" i="11"/>
  <c r="B17" i="15" s="1"/>
  <c r="C81" i="11"/>
  <c r="B6" i="22" s="1"/>
  <c r="C21" i="11"/>
  <c r="A34" i="28" s="1"/>
  <c r="C144" i="11"/>
  <c r="B16" i="15" s="1"/>
  <c r="C80" i="11"/>
  <c r="C16" i="11"/>
  <c r="B2" i="7" s="1"/>
  <c r="C134" i="11"/>
  <c r="B5" i="15" s="1"/>
  <c r="C70" i="11"/>
  <c r="B2" i="5" s="1"/>
  <c r="C6" i="11"/>
  <c r="C27" i="11"/>
  <c r="B19" i="22" s="1"/>
  <c r="C135" i="11"/>
  <c r="B6" i="15" s="1"/>
  <c r="C63" i="11"/>
  <c r="B35" i="6" s="1"/>
  <c r="J27" i="27"/>
  <c r="AC13" i="30"/>
  <c r="A14" i="28" s="1"/>
  <c r="L7" i="13"/>
  <c r="D49" i="12"/>
  <c r="L35" i="13"/>
  <c r="J2" i="32"/>
  <c r="L15" i="13"/>
  <c r="H4" i="7"/>
  <c r="B2" i="13"/>
  <c r="F32" i="9"/>
  <c r="B33" i="5"/>
  <c r="E2" i="20"/>
  <c r="K14" i="29"/>
  <c r="BN5" i="29"/>
  <c r="J4" i="21"/>
  <c r="M2" i="22"/>
  <c r="G38" i="27"/>
  <c r="L2" i="6"/>
  <c r="E2" i="11"/>
  <c r="N23" i="13"/>
  <c r="H4" i="5"/>
  <c r="B7" i="32"/>
  <c r="N4" i="10"/>
  <c r="P2" i="17"/>
  <c r="D2" i="15"/>
  <c r="K2" i="16"/>
  <c r="P4" i="12"/>
  <c r="B7" i="16"/>
  <c r="BN5" i="31"/>
  <c r="L4" i="9"/>
  <c r="B27" i="13"/>
  <c r="A30" i="28" s="1"/>
  <c r="L31" i="10"/>
  <c r="AC24" i="31" s="1"/>
  <c r="Q24" i="10"/>
  <c r="P24" i="10" s="1"/>
  <c r="R17" i="13"/>
  <c r="H39" i="6"/>
  <c r="R19" i="13" s="1"/>
  <c r="I7" i="21"/>
  <c r="H33" i="21" s="1"/>
  <c r="C24" i="28"/>
  <c r="F33" i="5"/>
  <c r="F24" i="27"/>
  <c r="I24" i="27" s="1"/>
  <c r="AC23" i="31" l="1"/>
  <c r="AC30" i="29"/>
  <c r="AY25" i="29"/>
  <c r="B2" i="10"/>
  <c r="F26" i="6"/>
  <c r="B27" i="10"/>
  <c r="B29" i="21"/>
  <c r="AC28" i="29"/>
  <c r="AC25" i="29"/>
  <c r="T28" i="30"/>
  <c r="K30" i="29"/>
  <c r="AC20" i="30"/>
  <c r="F25" i="9"/>
  <c r="T35" i="30"/>
  <c r="T28" i="31"/>
  <c r="D10" i="12"/>
  <c r="AC13" i="31"/>
  <c r="B27" i="9"/>
  <c r="K14" i="31"/>
  <c r="T35" i="31"/>
  <c r="B24" i="10"/>
  <c r="AY25" i="30"/>
  <c r="T18" i="31"/>
  <c r="D2" i="12"/>
  <c r="U28" i="14"/>
  <c r="T33" i="31"/>
  <c r="D44" i="12"/>
  <c r="B18" i="30"/>
  <c r="A3" i="28" s="1"/>
  <c r="B33" i="6"/>
  <c r="B4" i="21"/>
  <c r="B75" i="7"/>
  <c r="J7" i="13"/>
  <c r="E5" i="16"/>
  <c r="A28" i="28"/>
  <c r="E7" i="27"/>
  <c r="E44" i="27"/>
  <c r="C41" i="27"/>
  <c r="C44" i="27"/>
  <c r="AC23" i="29"/>
  <c r="J7" i="27"/>
  <c r="H47" i="27"/>
  <c r="H44" i="27"/>
  <c r="F30" i="9"/>
  <c r="D45" i="12"/>
  <c r="B31" i="5"/>
  <c r="B29" i="5"/>
  <c r="J23" i="13"/>
  <c r="G9" i="27"/>
  <c r="H4" i="12"/>
  <c r="H10" i="12"/>
  <c r="N7" i="13"/>
  <c r="BO2" i="31"/>
  <c r="BO2" i="29"/>
  <c r="BO2" i="30"/>
  <c r="K19" i="22"/>
  <c r="H28" i="9"/>
  <c r="AY8" i="30"/>
  <c r="C20" i="28" s="1"/>
  <c r="AY26" i="29"/>
  <c r="B21" i="30"/>
  <c r="BL25" i="30" s="1"/>
  <c r="BM25" i="30" s="1"/>
  <c r="D75" i="7"/>
  <c r="D77" i="7"/>
  <c r="B21" i="31"/>
  <c r="BL25" i="31" s="1"/>
  <c r="BM25" i="31" s="1"/>
  <c r="B31" i="21"/>
  <c r="C7" i="27"/>
  <c r="B77" i="7"/>
  <c r="T33" i="30"/>
  <c r="A10" i="28" s="1"/>
  <c r="E15" i="27"/>
  <c r="D47" i="12"/>
  <c r="E33" i="27"/>
  <c r="E41" i="27"/>
  <c r="K28" i="30"/>
  <c r="A5" i="28" s="1"/>
  <c r="B29" i="10"/>
  <c r="F28" i="6"/>
  <c r="F24" i="10"/>
  <c r="L29" i="10" s="1"/>
  <c r="AC24" i="29"/>
  <c r="C39" i="28"/>
  <c r="F56" i="27"/>
  <c r="AO20" i="29"/>
  <c r="AO20" i="30"/>
  <c r="AO20" i="31" s="1"/>
  <c r="T16" i="30"/>
  <c r="C15" i="28"/>
  <c r="T16" i="31"/>
  <c r="K12" i="31" s="1"/>
  <c r="G15" i="22"/>
  <c r="T20" i="29"/>
  <c r="K12" i="29"/>
  <c r="E30" i="27"/>
  <c r="E27" i="27"/>
  <c r="E59" i="27"/>
  <c r="E56" i="27"/>
  <c r="T23" i="29"/>
  <c r="K28" i="31"/>
  <c r="E36" i="27"/>
  <c r="B18" i="31"/>
  <c r="T28" i="29"/>
  <c r="B20" i="31"/>
  <c r="AC30" i="30"/>
  <c r="D42" i="12"/>
  <c r="AY3" i="29"/>
  <c r="K14" i="30"/>
  <c r="T18" i="30"/>
  <c r="E38" i="27"/>
  <c r="AC28" i="30"/>
  <c r="A17" i="28" s="1"/>
  <c r="E50" i="27"/>
  <c r="N43" i="13"/>
  <c r="C17" i="27"/>
  <c r="J5" i="32"/>
  <c r="E17" i="27"/>
  <c r="AC28" i="31"/>
  <c r="E53" i="27"/>
  <c r="AY25" i="31"/>
  <c r="AC20" i="29"/>
  <c r="B18" i="29"/>
  <c r="AC30" i="31"/>
  <c r="B26" i="21"/>
  <c r="K30" i="31"/>
  <c r="AY3" i="30"/>
  <c r="A20" i="28" s="1"/>
  <c r="E47" i="27"/>
  <c r="B13" i="22"/>
  <c r="AC13" i="29"/>
  <c r="D15" i="27"/>
  <c r="N42" i="12"/>
  <c r="AC29" i="31"/>
  <c r="T26" i="31" s="1"/>
  <c r="S32" i="13" s="1"/>
  <c r="AC29" i="30"/>
  <c r="AC29" i="29"/>
  <c r="F35" i="13"/>
  <c r="F23" i="13"/>
  <c r="F2" i="8"/>
  <c r="AC8" i="29"/>
  <c r="AC8" i="31"/>
  <c r="AC8" i="30"/>
  <c r="A13" i="28" s="1"/>
  <c r="J33" i="27"/>
  <c r="G47" i="27"/>
  <c r="G41" i="27"/>
  <c r="AO24" i="30"/>
  <c r="AO29" i="30"/>
  <c r="J30" i="27"/>
  <c r="J41" i="27"/>
  <c r="AO19" i="30"/>
  <c r="G19" i="30"/>
  <c r="B3" i="28" s="1"/>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s="1"/>
  <c r="B9" i="13"/>
  <c r="J35" i="13"/>
  <c r="J45" i="13"/>
  <c r="U9" i="14"/>
  <c r="C29" i="27"/>
  <c r="D4" i="21"/>
  <c r="D4" i="5"/>
  <c r="B20" i="22"/>
  <c r="AC23" i="30"/>
  <c r="A16" i="28" s="1"/>
  <c r="P51" i="13"/>
  <c r="N51" i="13"/>
  <c r="P31" i="13"/>
  <c r="N31" i="13"/>
  <c r="L45" i="13"/>
  <c r="L23" i="13"/>
  <c r="M2" i="27"/>
  <c r="BN5" i="30"/>
  <c r="J4" i="8"/>
  <c r="B2" i="22"/>
  <c r="U23" i="14"/>
  <c r="B32" i="9"/>
  <c r="H4" i="8"/>
  <c r="B4" i="16"/>
  <c r="B4" i="32"/>
  <c r="P29" i="29"/>
  <c r="BD8" i="29"/>
  <c r="BD24" i="29"/>
  <c r="Y8" i="29"/>
  <c r="G19" i="29"/>
  <c r="B2" i="8"/>
  <c r="AC3" i="29"/>
  <c r="AC3" i="31"/>
  <c r="AC3" i="30"/>
  <c r="A12" i="28" s="1"/>
  <c r="B33" i="21"/>
  <c r="F30" i="6"/>
  <c r="F28" i="8"/>
  <c r="B2" i="21"/>
  <c r="B31" i="10"/>
  <c r="B79" i="7"/>
  <c r="D4" i="8"/>
  <c r="C46" i="27"/>
  <c r="T23" i="30"/>
  <c r="A9" i="28" s="1"/>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s="1"/>
  <c r="P45" i="13"/>
  <c r="B12" i="32"/>
  <c r="B12" i="16"/>
  <c r="G19" i="31"/>
  <c r="BD8" i="31"/>
  <c r="P29" i="31"/>
  <c r="Y8" i="31"/>
  <c r="BD24" i="31"/>
  <c r="C47" i="27"/>
  <c r="C30" i="27"/>
  <c r="C53" i="27"/>
  <c r="C50" i="27"/>
  <c r="U3" i="14"/>
  <c r="B2" i="15"/>
  <c r="E4" i="16"/>
  <c r="D4" i="32"/>
  <c r="AY21" i="31"/>
  <c r="C35" i="27"/>
  <c r="AY21" i="29"/>
  <c r="AY21" i="30"/>
  <c r="A21" i="28" s="1"/>
  <c r="B1" i="31"/>
  <c r="B37" i="6"/>
  <c r="F7" i="13"/>
  <c r="T3" i="30"/>
  <c r="A7" i="28" s="1"/>
  <c r="T3" i="31"/>
  <c r="O21" i="14"/>
  <c r="K9" i="30"/>
  <c r="A4" i="28" s="1"/>
  <c r="K9" i="31"/>
  <c r="K9" i="29"/>
  <c r="C23" i="27"/>
  <c r="F25" i="6"/>
  <c r="A24" i="28" s="1"/>
  <c r="G15" i="27"/>
  <c r="J15" i="27"/>
  <c r="B11" i="13"/>
  <c r="B28" i="5"/>
  <c r="A25" i="28" s="1"/>
  <c r="F6" i="8"/>
  <c r="B6" i="8"/>
  <c r="B26" i="5"/>
  <c r="B72"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G20" i="22"/>
  <c r="AC24" i="30"/>
  <c r="F7" i="27"/>
  <c r="F11" i="13"/>
  <c r="C25" i="28"/>
  <c r="F29" i="5"/>
  <c r="F31" i="5"/>
  <c r="H31" i="21"/>
  <c r="L9" i="13" s="1"/>
  <c r="F9" i="13"/>
  <c r="F9" i="27"/>
  <c r="C26" i="28"/>
  <c r="H29" i="21"/>
  <c r="T17" i="13"/>
  <c r="J39" i="6"/>
  <c r="T19" i="13" s="1"/>
  <c r="H26" i="6"/>
  <c r="AY24" i="30" l="1"/>
  <c r="L27" i="10"/>
  <c r="AO25" i="29"/>
  <c r="BJ25" i="29" s="1"/>
  <c r="BK25" i="29" s="1"/>
  <c r="AO25" i="30"/>
  <c r="AO25" i="31" s="1"/>
  <c r="BJ25" i="31" s="1"/>
  <c r="BK25" i="31" s="1"/>
  <c r="T26" i="29"/>
  <c r="A18" i="28"/>
  <c r="S19" i="13"/>
  <c r="U19" i="13" s="1"/>
  <c r="F36" i="27"/>
  <c r="C21" i="28"/>
  <c r="AY26" i="30"/>
  <c r="AY26" i="31" s="1"/>
  <c r="C8" i="28"/>
  <c r="K12" i="30"/>
  <c r="T20" i="30"/>
  <c r="T20" i="31" s="1"/>
  <c r="K15" i="29"/>
  <c r="BL15" i="29" s="1"/>
  <c r="BM15" i="29" s="1"/>
  <c r="BM34" i="29" s="1"/>
  <c r="BL34" i="29" s="1"/>
  <c r="K29" i="29"/>
  <c r="K29" i="31"/>
  <c r="T34" i="31" s="1"/>
  <c r="S30" i="13"/>
  <c r="C17" i="28"/>
  <c r="G19" i="22"/>
  <c r="AO30" i="30"/>
  <c r="AO30" i="31" s="1"/>
  <c r="BJ30" i="31" s="1"/>
  <c r="BK30" i="31" s="1"/>
  <c r="AO30" i="29"/>
  <c r="BJ30" i="29" s="1"/>
  <c r="BK30" i="29" s="1"/>
  <c r="T26" i="30"/>
  <c r="F47" i="27" s="1"/>
  <c r="L47" i="12"/>
  <c r="L45" i="12"/>
  <c r="B18" i="28"/>
  <c r="B15" i="28"/>
  <c r="B7" i="28"/>
  <c r="B8" i="28" s="1"/>
  <c r="B9" i="28" s="1"/>
  <c r="B10" i="28"/>
  <c r="B12" i="28"/>
  <c r="B21" i="28"/>
  <c r="B4" i="28"/>
  <c r="B17" i="28"/>
  <c r="B20" i="28"/>
  <c r="B13" i="28"/>
  <c r="B14" i="28"/>
  <c r="B5" i="28"/>
  <c r="B16" i="28"/>
  <c r="G17" i="22"/>
  <c r="F37" i="13"/>
  <c r="C35" i="28" s="1"/>
  <c r="S17" i="13"/>
  <c r="U17" i="13" s="1"/>
  <c r="C16" i="28"/>
  <c r="J9" i="13"/>
  <c r="F51" i="13"/>
  <c r="Z69" i="13"/>
  <c r="Z71" i="13"/>
  <c r="J11" i="13"/>
  <c r="AA71" i="13"/>
  <c r="L11" i="13"/>
  <c r="AA68" i="13"/>
  <c r="AA69" i="13"/>
  <c r="AA70" i="13"/>
  <c r="Z70" i="13"/>
  <c r="Z68" i="13"/>
  <c r="S15" i="13"/>
  <c r="U15" i="13" s="1"/>
  <c r="F19" i="13"/>
  <c r="BJ25" i="30" l="1"/>
  <c r="BK25" i="30" s="1"/>
  <c r="BK32" i="29"/>
  <c r="BJ32" i="29" s="1"/>
  <c r="T29" i="29" s="1"/>
  <c r="BL30" i="29" s="1"/>
  <c r="BM30" i="29" s="1"/>
  <c r="BM35" i="29" s="1"/>
  <c r="BL35" i="29" s="1"/>
  <c r="U20" i="13"/>
  <c r="H19" i="13" s="1"/>
  <c r="F41" i="13"/>
  <c r="C37" i="28" s="1"/>
  <c r="F39" i="13"/>
  <c r="C36" i="28" s="1"/>
  <c r="H51" i="13"/>
  <c r="J51" i="13" s="1"/>
  <c r="H47" i="13"/>
  <c r="S34" i="13"/>
  <c r="C4" i="28"/>
  <c r="K15" i="30"/>
  <c r="K15" i="31" s="1"/>
  <c r="K29" i="30"/>
  <c r="T34" i="30" s="1"/>
  <c r="K31" i="29"/>
  <c r="T34" i="29"/>
  <c r="C9" i="28"/>
  <c r="BK32" i="31"/>
  <c r="BJ32" i="31" s="1"/>
  <c r="BJ30" i="30"/>
  <c r="BK30" i="30" s="1"/>
  <c r="F38" i="27"/>
  <c r="P47" i="13"/>
  <c r="N47" i="13"/>
  <c r="BK32" i="30" l="1"/>
  <c r="BJ32" i="30" s="1"/>
  <c r="T29" i="30" s="1"/>
  <c r="BL30" i="30" s="1"/>
  <c r="BM30" i="30" s="1"/>
  <c r="L51" i="13"/>
  <c r="F17" i="27"/>
  <c r="I47" i="27" s="1"/>
  <c r="I30" i="27" s="1"/>
  <c r="I50" i="27" s="1"/>
  <c r="AH35" i="29"/>
  <c r="BL15" i="30"/>
  <c r="BM15" i="30" s="1"/>
  <c r="BM34" i="30" s="1"/>
  <c r="BL34" i="30" s="1"/>
  <c r="K31" i="30" s="1"/>
  <c r="K31" i="31" s="1"/>
  <c r="H49" i="13"/>
  <c r="L47" i="13"/>
  <c r="J47" i="13"/>
  <c r="T30" i="13"/>
  <c r="U30" i="13" s="1"/>
  <c r="BL15" i="31"/>
  <c r="BM15" i="31" s="1"/>
  <c r="BM34" i="31" s="1"/>
  <c r="BL34" i="31" s="1"/>
  <c r="F17" i="13"/>
  <c r="D24" i="22"/>
  <c r="G22" i="22" s="1"/>
  <c r="G31" i="22" s="1"/>
  <c r="F49" i="13" s="1"/>
  <c r="F41" i="27"/>
  <c r="C10" i="28"/>
  <c r="C18" i="28" s="1"/>
  <c r="C5" i="28"/>
  <c r="T29" i="31"/>
  <c r="T32" i="13" s="1"/>
  <c r="L19" i="13"/>
  <c r="J19" i="13"/>
  <c r="BM35" i="30" l="1"/>
  <c r="BL35" i="30" s="1"/>
  <c r="AH35" i="30" s="1"/>
  <c r="H17" i="13" s="1"/>
  <c r="J17" i="13" s="1"/>
  <c r="F27" i="13"/>
  <c r="F25" i="13"/>
  <c r="F31" i="13"/>
  <c r="C32" i="28" s="1"/>
  <c r="L49" i="13"/>
  <c r="F59" i="27"/>
  <c r="J49" i="13"/>
  <c r="C40" i="28"/>
  <c r="BL30" i="31"/>
  <c r="BM30" i="31" s="1"/>
  <c r="BM35" i="31" s="1"/>
  <c r="BL35" i="31" s="1"/>
  <c r="U32" i="13"/>
  <c r="U34" i="13" s="1"/>
  <c r="H37" i="13" s="1"/>
  <c r="H39" i="13"/>
  <c r="H41" i="13"/>
  <c r="H25" i="13" l="1"/>
  <c r="J25" i="13" s="1"/>
  <c r="L17" i="13"/>
  <c r="AH35" i="31"/>
  <c r="H27" i="13" s="1"/>
  <c r="J27" i="13" s="1"/>
  <c r="F15" i="27"/>
  <c r="I41" i="27" s="1"/>
  <c r="I36" i="27" s="1"/>
  <c r="N27" i="13"/>
  <c r="P27" i="13"/>
  <c r="C29" i="28"/>
  <c r="F29" i="13"/>
  <c r="C31" i="28" s="1"/>
  <c r="C30" i="28"/>
  <c r="L39" i="13"/>
  <c r="J39" i="13"/>
  <c r="L37" i="13"/>
  <c r="J37" i="13"/>
  <c r="J41" i="13"/>
  <c r="L41" i="13"/>
  <c r="L25" i="13" l="1"/>
  <c r="L27" i="13"/>
  <c r="H31" i="13"/>
  <c r="J31" i="13" s="1"/>
  <c r="H29" i="13"/>
  <c r="L29" i="13" s="1"/>
  <c r="I33" i="27"/>
  <c r="I44" i="27" s="1"/>
  <c r="I38" i="27"/>
  <c r="J29" i="13" l="1"/>
  <c r="L31" i="13"/>
  <c r="I53" i="27"/>
  <c r="I59" i="27" s="1"/>
  <c r="I56" i="27"/>
</calcChain>
</file>

<file path=xl/sharedStrings.xml><?xml version="1.0" encoding="utf-8"?>
<sst xmlns="http://schemas.openxmlformats.org/spreadsheetml/2006/main" count="4823" uniqueCount="3565">
  <si>
    <t>Albanian</t>
  </si>
  <si>
    <t>Fillimi</t>
  </si>
  <si>
    <t>Presioni</t>
  </si>
  <si>
    <t>m3/ditë</t>
  </si>
  <si>
    <t>Vlerësimi më i mirë</t>
  </si>
  <si>
    <t>Presioni mesatar [m]</t>
  </si>
  <si>
    <t>Përshkrimi</t>
  </si>
  <si>
    <t>Gjatësia [km]</t>
  </si>
  <si>
    <t>Totali [km]</t>
  </si>
  <si>
    <t>Nënvlerësimi i mundshëm</t>
  </si>
  <si>
    <t>Minimumi</t>
  </si>
  <si>
    <t>Maksimumi</t>
  </si>
  <si>
    <t> Për m3</t>
  </si>
  <si>
    <t>Komponenti i UPF</t>
  </si>
  <si>
    <t>[m3] </t>
  </si>
  <si>
    <t>% e vlerësuar e leximit më të ulët të ujëmatësit </t>
  </si>
  <si>
    <t>Konsumi [m3/ditë] </t>
  </si>
  <si>
    <t>Diagramet </t>
  </si>
  <si>
    <t>Rezultatet </t>
  </si>
  <si>
    <t>Sqarimet</t>
  </si>
  <si>
    <t>Viti: </t>
  </si>
  <si>
    <t>Kategoria e performancës teknike </t>
  </si>
  <si>
    <t>Fillimi </t>
  </si>
  <si>
    <t>7.) Programi është i mbrojtur me fjalëkalim i cili nuk do të zbulohet.</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</si>
  <si>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</si>
  <si>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</si>
  <si>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m3/vit</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</si>
  <si>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</si>
  <si>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</si>
  <si>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</si>
  <si>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</si>
  <si>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</si>
  <si>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</si>
  <si>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</si>
  <si>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</si>
  <si>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</si>
  <si>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Înregistrarea diminuată a datelor contorului</t>
  </si>
  <si>
    <t>% estimativ al diminuărilor</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</si>
  <si>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</si>
  <si>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</si>
  <si>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</si>
  <si>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</si>
  <si>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</si>
  <si>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</si>
  <si>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</si>
  <si>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</si>
  <si>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</si>
  <si>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</si>
  <si>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Đấu nối bất hợp pháp - sinh hoạt</t>
  </si>
  <si>
    <t>Đấu nối bất hợp pháp - những sử dụng khác</t>
  </si>
  <si>
    <t>Can thiệp xấu tới đồng hồ: gây nhiễu, lắp thêm ống nhánh… của những khách hàng đã đăng ký</t>
  </si>
  <si>
    <t>Các biểu đồ</t>
  </si>
  <si>
    <t>Nhập dữ liệu</t>
  </si>
  <si>
    <t>Kết quả</t>
  </si>
  <si>
    <t>Giải thích</t>
  </si>
  <si>
    <t>Tiêu thụ có đồng hồ đo, không có hoá đơn (không kể Cấp nước sỉ)</t>
  </si>
  <si>
    <t>Bộ dữ liệu quốc tế chọn lọc ngẫu nhiên</t>
  </si>
  <si>
    <t>Tên công ty:</t>
  </si>
  <si>
    <t>Năm:</t>
  </si>
  <si>
    <t>Thất thoát nước - Khối lượng và Giá trị (Chi phí)</t>
  </si>
  <si>
    <t>Benchmarking quốc tế</t>
  </si>
  <si>
    <t>Bảng đánh giá thất thoát cơ học</t>
  </si>
  <si>
    <t>Nhóm tác nghiệp kỹ thuật</t>
  </si>
  <si>
    <t>Lít/đấu nối/ngày</t>
  </si>
  <si>
    <t xml:space="preserve">(khi hệ thống được điều áp) tại mức áp lực trung bình : </t>
  </si>
  <si>
    <t>Quay lại phần Các chỉ số</t>
  </si>
  <si>
    <t>Trang chủ</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</si>
  <si>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</si>
  <si>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</si>
  <si>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</si>
  <si>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Bilanţul apei</t>
  </si>
  <si>
    <t>Consumul nefacturat</t>
  </si>
  <si>
    <t>Consumul neautorizat</t>
  </si>
  <si>
    <t>Consumul contorizat facturat</t>
  </si>
  <si>
    <t>Consumul necontorizat facturat</t>
  </si>
  <si>
    <t>Consumul contorizat nefacturat</t>
  </si>
  <si>
    <t>Consumul necontorizat nefacturat</t>
  </si>
  <si>
    <t>Erori de măsurare apometre şi de prelucrare a datelor</t>
  </si>
  <si>
    <t>Marja de eroare [+/- %]</t>
  </si>
  <si>
    <t>Nivelul serviciului</t>
  </si>
  <si>
    <t>Volumul pierderilor reale</t>
  </si>
  <si>
    <t>Indicatori de performanţă ai pierderilor reale</t>
  </si>
  <si>
    <t>Indicatori de performanţă ai pierderilor aparente</t>
  </si>
  <si>
    <t>UARL – Pierderile Reale Anuale  Inevitabile [m3/zi]</t>
  </si>
  <si>
    <t>CARL – Pierderile Reale Anuale Curente [m3/zi]</t>
  </si>
  <si>
    <t>Litri pe branşament pe zi (p.a.a.)
p.a.a.: când sistemul este sub presiune – aceasta semnifică că valoarea este deja corectată în cazul de alimentare intermitentă</t>
  </si>
  <si>
    <t>Indicele de pierderi în infrastructură (ILI)</t>
  </si>
  <si>
    <t>Volumul de apă nefacturată exprimat în % din costurile operaţionale anuale</t>
  </si>
  <si>
    <t>Conducte de distribuţie şi transport</t>
  </si>
  <si>
    <t>Posibilă subestimare a indicatiilor contorului</t>
  </si>
  <si>
    <t>Numărul estimat al conexiunilor / branşamentelor ilegale</t>
  </si>
  <si>
    <t>Lungimea medie a branşamentelor de la frontiera de proprietate până la contorul consumatorului [metri]</t>
  </si>
  <si>
    <t>Lungimea totală a branşamentelor de la frontiera de proprietate până la contorul consumatorului [metri]</t>
  </si>
  <si>
    <t xml:space="preserve">Alimentare intermitentă </t>
  </si>
  <si>
    <t>Sursa de apă</t>
  </si>
  <si>
    <t>Apa nefacturată (NRW)</t>
  </si>
  <si>
    <t>Valoarea totală a apei nefacturate (NRW)</t>
  </si>
  <si>
    <t>Numărul estimat</t>
  </si>
  <si>
    <t>Consumul [litri/consumator/zi]</t>
  </si>
  <si>
    <t>Consumul neautorizat [m3]</t>
  </si>
  <si>
    <t>Timpul mediu de alimentare [ore/zi]</t>
  </si>
  <si>
    <t>Presiunea medie [m]</t>
  </si>
  <si>
    <t>Timpul de alimentare [ore pe zi]</t>
  </si>
  <si>
    <t>Timpul mediu zilnic de alimentare [ore]</t>
  </si>
  <si>
    <t>Volumul de apă intrat în sistem [m3]</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</si>
  <si>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</si>
  <si>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</si>
  <si>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</si>
  <si>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</si>
  <si>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</si>
  <si>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</si>
  <si>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</si>
  <si>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</si>
  <si>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</si>
  <si>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</si>
  <si>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</si>
  <si>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</si>
  <si>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</si>
  <si>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</si>
  <si>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</si>
  <si>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</si>
  <si>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</si>
  <si>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</si>
  <si>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</si>
  <si>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</si>
  <si>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Technische Wasserverlust- kategorie</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</si>
  <si>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</si>
  <si>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</si>
  <si>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</si>
  <si>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</si>
  <si>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Litri pe branşament pe zi pe metru de presiune (p.a.a.)</t>
  </si>
  <si>
    <t>Branşamente</t>
  </si>
  <si>
    <t>Descrierea</t>
  </si>
  <si>
    <t>Lungimea [km]</t>
  </si>
  <si>
    <t>Numărul</t>
  </si>
  <si>
    <t>Numărul de branşamente</t>
  </si>
  <si>
    <t>Presiunea medie</t>
  </si>
  <si>
    <t>Suprafaţa</t>
  </si>
  <si>
    <t>Numărul aproximativ de branşamente</t>
  </si>
  <si>
    <t>Presiunea medie zilnică [m]</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</si>
  <si>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</si>
  <si>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</si>
  <si>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</si>
  <si>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</si>
  <si>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Khởi động</t>
  </si>
  <si>
    <t>Cân bằng Nước</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</si>
  <si>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</si>
  <si>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</si>
  <si>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</si>
  <si>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</si>
  <si>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</si>
  <si>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</si>
  <si>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</si>
  <si>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</si>
  <si>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Thất thoát nước</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</si>
  <si>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</si>
  <si>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</si>
  <si>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</si>
  <si>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</si>
  <si>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</si>
  <si>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</si>
  <si>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</si>
  <si>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</si>
  <si>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Nước có doanh thu</t>
  </si>
  <si>
    <t>Nước không có doanh thu</t>
  </si>
  <si>
    <t>Mức độ sai số [+/-]:</t>
  </si>
  <si>
    <t>Ước tính tốt nhất</t>
  </si>
  <si>
    <t>Giới hạn dưới</t>
  </si>
  <si>
    <t>Giới hạn trên</t>
  </si>
  <si>
    <t>Mức dịch vụ</t>
  </si>
  <si>
    <t>Khối lượng thất thoát cơ học</t>
  </si>
  <si>
    <t>Các chỉ số vận hành thất thoát cơ học</t>
  </si>
  <si>
    <t>Các chỉ số vận hành thất thoát thương mại</t>
  </si>
  <si>
    <t>Các chỉ số vận hành tài chính</t>
  </si>
  <si>
    <t>Nhóm tác nghiệp</t>
  </si>
  <si>
    <t>Tình hình quốc gia phát triển</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</si>
  <si>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</si>
  <si>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</si>
  <si>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</si>
  <si>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</si>
  <si>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</si>
  <si>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</si>
  <si>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</si>
  <si>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</si>
  <si>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</si>
  <si>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</si>
  <si>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</si>
  <si>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</si>
  <si>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</si>
  <si>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</si>
  <si>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</si>
  <si>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</si>
  <si>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</si>
  <si>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</si>
  <si>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</si>
  <si>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</si>
  <si>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</si>
  <si>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</si>
  <si>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</si>
  <si>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</si>
  <si>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</si>
  <si>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</si>
  <si>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</si>
  <si>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</si>
  <si>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</si>
  <si>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</si>
  <si>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</si>
  <si>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</si>
  <si>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</si>
  <si>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</si>
  <si>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</si>
  <si>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</si>
  <si>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</si>
  <si>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</si>
  <si>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</si>
  <si>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</si>
  <si>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</si>
  <si>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</si>
  <si>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</si>
  <si>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</si>
  <si>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</si>
  <si>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</si>
  <si>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</si>
  <si>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</si>
  <si>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Geschätzter % um den die Zähler zuwenig messen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</si>
  <si>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</si>
  <si>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</si>
  <si>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</si>
  <si>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</si>
  <si>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</si>
  <si>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</si>
  <si>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</si>
  <si>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</si>
  <si>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</si>
  <si>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</si>
  <si>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</si>
  <si>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</si>
  <si>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</si>
  <si>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</si>
  <si>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</si>
  <si>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</si>
  <si>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</si>
  <si>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</si>
  <si>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</si>
  <si>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</si>
  <si>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</si>
  <si>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</si>
  <si>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</si>
  <si>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</si>
  <si>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</si>
  <si>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</si>
  <si>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</si>
  <si>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</si>
  <si>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</si>
  <si>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</si>
  <si>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</si>
  <si>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</si>
  <si>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</si>
  <si>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</si>
  <si>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</si>
  <si>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</si>
  <si>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</si>
  <si>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</si>
  <si>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</si>
  <si>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</si>
  <si>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</si>
  <si>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</si>
  <si>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</si>
  <si>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</si>
  <si>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</si>
  <si>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</si>
  <si>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</si>
  <si>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</si>
  <si>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</si>
  <si>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</si>
  <si>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</si>
  <si>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</si>
  <si>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</si>
  <si>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</si>
  <si>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</si>
  <si>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</si>
  <si>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</si>
  <si>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</si>
  <si>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</si>
  <si>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</si>
  <si>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</si>
  <si>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</si>
  <si>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</si>
  <si>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</si>
  <si>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</si>
  <si>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</si>
  <si>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</si>
  <si>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</si>
  <si>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</si>
  <si>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</si>
  <si>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</si>
  <si>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</si>
  <si>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</si>
  <si>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</si>
  <si>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</si>
  <si>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</si>
  <si>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</si>
  <si>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</si>
  <si>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</si>
  <si>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</si>
  <si>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</si>
  <si>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</si>
  <si>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</si>
  <si>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</si>
  <si>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</si>
  <si>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</si>
  <si>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</si>
  <si>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</si>
  <si>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</si>
  <si>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</si>
  <si>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</si>
  <si>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</si>
  <si>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</si>
  <si>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</si>
  <si>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</si>
  <si>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</si>
  <si>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</si>
  <si>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</si>
  <si>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</si>
  <si>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</si>
  <si>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</si>
  <si>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</si>
  <si>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</si>
  <si>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</si>
  <si>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</si>
  <si>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</si>
  <si>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</si>
  <si>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</si>
  <si>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</si>
  <si>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</si>
  <si>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</si>
  <si>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</si>
  <si>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</si>
  <si>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</si>
  <si>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</si>
  <si>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</si>
  <si>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</si>
  <si>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</si>
  <si>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</si>
  <si>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</si>
  <si>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</si>
  <si>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</si>
  <si>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</si>
  <si>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</si>
  <si>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</si>
  <si>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</si>
  <si>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</si>
  <si>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</si>
  <si>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</si>
  <si>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</si>
  <si>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</si>
  <si>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</si>
  <si>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</si>
  <si>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</si>
  <si>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</si>
  <si>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</si>
  <si>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</si>
  <si>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</si>
  <si>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</si>
  <si>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</si>
  <si>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</si>
  <si>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</si>
  <si>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Prosečan pritisak [m]</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</si>
  <si>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</si>
  <si>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</si>
  <si>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</si>
  <si>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</si>
  <si>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</si>
  <si>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</si>
  <si>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</si>
  <si>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</si>
  <si>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</si>
  <si>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</si>
  <si>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</si>
  <si>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</si>
  <si>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</si>
  <si>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</si>
  <si>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</si>
  <si>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</si>
  <si>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</si>
  <si>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</si>
  <si>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</si>
  <si>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</si>
  <si>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</si>
  <si>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</si>
  <si>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</si>
  <si>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</si>
  <si>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</si>
  <si>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</si>
  <si>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</si>
  <si>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</si>
  <si>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平均水压[米]</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</si>
  <si>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</si>
  <si>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</si>
  <si>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</si>
  <si>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</si>
  <si>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</si>
  <si>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</si>
  <si>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</si>
  <si>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</si>
  <si>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</si>
  <si>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</si>
  <si>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</si>
  <si>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</si>
  <si>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</si>
  <si>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</si>
  <si>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</si>
  <si>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</si>
  <si>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</si>
  <si>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</si>
  <si>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</si>
  <si>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</si>
  <si>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</si>
  <si>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</si>
  <si>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</si>
  <si>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</si>
  <si>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</si>
  <si>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</si>
  <si>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</si>
  <si>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</si>
  <si>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</si>
  <si>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</si>
  <si>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</si>
  <si>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</si>
  <si>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</si>
  <si>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</si>
  <si>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</si>
  <si>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</si>
  <si>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</si>
  <si>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</si>
  <si>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</si>
  <si>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</si>
  <si>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</si>
  <si>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</si>
  <si>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</si>
  <si>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</si>
  <si>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</si>
  <si>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</si>
  <si>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</si>
  <si>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</si>
  <si>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</si>
  <si>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</si>
  <si>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</si>
  <si>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</si>
  <si>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</si>
  <si>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</si>
  <si>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</si>
  <si>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</si>
  <si>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</si>
  <si>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</si>
  <si>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</si>
  <si>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</si>
  <si>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</si>
  <si>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</si>
  <si>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</si>
  <si>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</si>
  <si>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</si>
  <si>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</si>
  <si>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</si>
  <si>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</si>
  <si>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</si>
  <si>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</si>
  <si>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</si>
  <si>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</si>
  <si>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</si>
  <si>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</si>
  <si>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</si>
  <si>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</si>
  <si>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</si>
  <si>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</si>
  <si>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</si>
  <si>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</si>
  <si>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</si>
  <si>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</si>
  <si>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</si>
  <si>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</si>
  <si>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</si>
  <si>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</si>
  <si>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</si>
  <si>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</si>
  <si>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</si>
  <si>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</si>
  <si>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</si>
  <si>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</si>
  <si>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</si>
  <si>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</si>
  <si>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</si>
  <si>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</si>
  <si>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</si>
  <si>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</si>
  <si>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</si>
  <si>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</si>
  <si>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</si>
  <si>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</si>
  <si>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</si>
  <si>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</si>
  <si>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</si>
  <si>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</si>
  <si>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</si>
  <si>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</si>
  <si>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</si>
  <si>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</si>
  <si>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</si>
  <si>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</si>
  <si>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</si>
  <si>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</si>
  <si>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</si>
  <si>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</si>
  <si>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</si>
  <si>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</si>
  <si>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</si>
  <si>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</si>
  <si>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</si>
  <si>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</si>
  <si>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</si>
  <si>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</si>
  <si>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</si>
  <si>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</si>
  <si>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</si>
  <si>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</si>
  <si>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</si>
  <si>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</si>
  <si>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</si>
  <si>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</si>
  <si>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</si>
  <si>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</si>
  <si>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</si>
  <si>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</si>
  <si>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</si>
  <si>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</si>
  <si>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</si>
  <si>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</si>
  <si>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</si>
  <si>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</si>
  <si>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</si>
  <si>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</si>
  <si>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</si>
  <si>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</si>
  <si>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</si>
  <si>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</si>
  <si>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</si>
  <si>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</si>
  <si>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</si>
  <si>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</si>
  <si>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</si>
  <si>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</si>
  <si>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</si>
  <si>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</si>
  <si>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</si>
  <si>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</si>
  <si>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</si>
  <si>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</si>
  <si>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</si>
  <si>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</si>
  <si>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</si>
  <si>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</si>
  <si>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</si>
  <si>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</si>
  <si>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</si>
  <si>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</si>
  <si>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</si>
  <si>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</si>
  <si>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</si>
  <si>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</si>
  <si>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</si>
  <si>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</si>
  <si>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</si>
  <si>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</si>
  <si>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</si>
  <si>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</si>
  <si>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</si>
  <si>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แรงดันน้ำเฉลี่ย (เมตร)</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</si>
  <si>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</si>
  <si>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</si>
  <si>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</si>
  <si>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</si>
  <si>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</si>
  <si>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</si>
  <si>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</si>
  <si>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</si>
  <si>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</si>
  <si>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</si>
  <si>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</si>
  <si>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</si>
  <si>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</si>
  <si>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</si>
  <si>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</si>
  <si>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</si>
  <si>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</si>
  <si>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</si>
  <si>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</si>
  <si>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</si>
  <si>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</si>
  <si>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</si>
  <si>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</si>
  <si>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</si>
  <si>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</si>
  <si>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</si>
  <si>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</si>
  <si>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 xml:space="preserve">Numărul de branşamente ale consumatorilor înregistraţi
Notă: este foarte  probabil ca această cifră să fie (puţin) mai mică decât numărul de consumatori
</t>
  </si>
  <si>
    <t>Cheltuieli de exploatare anuale (fără amortizare)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</si>
  <si>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</si>
  <si>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</si>
  <si>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</si>
  <si>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</si>
  <si>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</si>
  <si>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</si>
  <si>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</si>
  <si>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</si>
  <si>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</si>
  <si>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</si>
  <si>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</si>
  <si>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</si>
  <si>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</si>
  <si>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</si>
  <si>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</si>
  <si>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</si>
  <si>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</si>
  <si>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</si>
  <si>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</si>
  <si>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</si>
  <si>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</si>
  <si>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</si>
  <si>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</si>
  <si>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</si>
  <si>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</si>
  <si>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</si>
  <si>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</si>
  <si>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</si>
  <si>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</si>
  <si>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</si>
  <si>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</si>
  <si>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</si>
  <si>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</si>
  <si>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</si>
  <si>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</si>
  <si>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</si>
  <si>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</si>
  <si>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</si>
  <si>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</si>
  <si>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</si>
  <si>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</si>
  <si>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</si>
  <si>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</si>
  <si>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</si>
  <si>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</si>
  <si>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</si>
  <si>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</si>
  <si>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</si>
  <si>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</si>
  <si>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</si>
  <si>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</si>
  <si>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</si>
  <si>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</si>
  <si>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</si>
  <si>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</si>
  <si>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</si>
  <si>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</si>
  <si>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</si>
  <si>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</si>
  <si>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</si>
  <si>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</si>
  <si>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</si>
  <si>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</si>
  <si>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</si>
  <si>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</si>
  <si>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</si>
  <si>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</si>
  <si>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</si>
  <si>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</si>
  <si>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</si>
  <si>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</si>
  <si>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</si>
  <si>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</si>
  <si>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</si>
  <si>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</si>
  <si>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</si>
  <si>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</si>
  <si>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</si>
  <si>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</si>
  <si>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</si>
  <si>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</si>
  <si>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</si>
  <si>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</si>
  <si>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11.) Liemberger &amp; Partners freuen sich über Anregungen und Kommentare! Bitte senden Sie emails an: office@liemberger.cc</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</si>
  <si>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</si>
  <si>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</si>
  <si>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</si>
  <si>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</si>
  <si>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</si>
  <si>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</si>
  <si>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</si>
  <si>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</si>
  <si>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</si>
  <si>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</si>
  <si>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</si>
  <si>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</si>
  <si>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</si>
  <si>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</si>
  <si>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</si>
  <si>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</si>
  <si>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</si>
  <si>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</si>
  <si>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</si>
  <si>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</si>
  <si>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</si>
  <si>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</si>
  <si>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</si>
  <si>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</si>
  <si>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</si>
  <si>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</si>
  <si>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</si>
  <si>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</si>
  <si>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</si>
  <si>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MAPL - Khối lượng thất thoát cơ học tối thiểu có thể đạt được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</si>
  <si>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</si>
  <si>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</si>
  <si>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</si>
  <si>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</si>
  <si>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</si>
  <si>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</si>
  <si>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</si>
  <si>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</si>
  <si>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</si>
  <si>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</si>
  <si>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</si>
  <si>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</si>
  <si>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</si>
  <si>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</si>
  <si>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</si>
  <si>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</si>
  <si>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</si>
  <si>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</si>
  <si>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</si>
  <si>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</si>
  <si>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</si>
  <si>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</si>
  <si>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</si>
  <si>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</si>
  <si>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</si>
  <si>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</si>
  <si>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</si>
  <si>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</si>
  <si>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</si>
  <si>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</si>
  <si>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</si>
  <si>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</si>
  <si>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</si>
  <si>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</si>
  <si>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</si>
  <si>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</si>
  <si>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</si>
  <si>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</si>
  <si>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</si>
  <si>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</si>
  <si>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</si>
  <si>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</si>
  <si>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</si>
  <si>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</si>
  <si>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</si>
  <si>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</si>
  <si>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</si>
  <si>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</si>
  <si>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</si>
  <si>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</si>
  <si>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</si>
  <si>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</si>
  <si>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</si>
  <si>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</si>
  <si>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</si>
  <si>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</si>
  <si>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</si>
  <si>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</si>
  <si>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</si>
  <si>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</si>
  <si>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</si>
  <si>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</si>
  <si>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</si>
  <si>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</si>
  <si>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</si>
  <si>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</si>
  <si>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</si>
  <si>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</si>
  <si>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</si>
  <si>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</si>
  <si>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</si>
  <si>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</si>
  <si>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Pressure [m]</t>
  </si>
  <si>
    <t>Average Daily Supply Time [hours]</t>
  </si>
  <si>
    <t>Minimum</t>
  </si>
  <si>
    <t>Maximum</t>
  </si>
  <si>
    <t>Best Estimate</t>
  </si>
  <si>
    <t>Distribution and Transmission Mains</t>
  </si>
  <si>
    <t>Service Connections</t>
  </si>
  <si>
    <t>4.) WB-EasyCalc a fost optimizat pentru o rezoluţie a ecranului de 1024 x 768 Pixel</t>
  </si>
  <si>
    <t>celulele de culoare albă sunt pentru introducerea datelor</t>
  </si>
  <si>
    <t>Volumul total de apă furnizat (exportul)</t>
  </si>
  <si>
    <t>Număr de persoane pe locuinţă</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</si>
  <si>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</si>
  <si>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</si>
  <si>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</si>
  <si>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</si>
  <si>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</si>
  <si>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</si>
  <si>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</si>
  <si>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</si>
  <si>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</si>
  <si>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</si>
  <si>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</si>
  <si>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</si>
  <si>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</si>
  <si>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</si>
  <si>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</si>
  <si>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</si>
  <si>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</si>
  <si>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</si>
  <si>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</si>
  <si>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</si>
  <si>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</si>
  <si>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</si>
  <si>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</si>
  <si>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</si>
  <si>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</si>
  <si>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</si>
  <si>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</si>
  <si>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</si>
  <si>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</si>
  <si>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</si>
  <si>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</si>
  <si>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</si>
  <si>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</si>
  <si>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</si>
  <si>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</si>
  <si>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</si>
  <si>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</si>
  <si>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</si>
  <si>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</si>
  <si>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</si>
  <si>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</si>
  <si>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</si>
  <si>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</si>
  <si>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</si>
  <si>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</si>
  <si>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</si>
  <si>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</si>
  <si>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</si>
  <si>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</si>
  <si>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</si>
  <si>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</si>
  <si>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</si>
  <si>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</si>
  <si>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</si>
  <si>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</si>
  <si>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</si>
  <si>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</si>
  <si>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</si>
  <si>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</si>
  <si>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</si>
  <si>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</si>
  <si>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</si>
  <si>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</si>
  <si>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</si>
  <si>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</si>
  <si>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</si>
  <si>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</si>
  <si>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</si>
  <si>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</si>
  <si>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</si>
  <si>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</si>
  <si>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</si>
  <si>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</si>
  <si>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</si>
  <si>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</si>
  <si>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</si>
  <si>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</si>
  <si>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</si>
  <si>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</si>
  <si>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</si>
  <si>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</si>
  <si>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</si>
  <si>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</si>
  <si>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</si>
  <si>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</si>
  <si>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</si>
  <si>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</si>
  <si>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Hợp phần NRW</t>
  </si>
  <si>
    <t>Tổng giá trị NRW</t>
  </si>
  <si>
    <t>Chi phí vận hành hàng năm (không tính Khấu hao)</t>
  </si>
  <si>
    <t>Cấp nước sỉ (xuất khẩu)</t>
  </si>
  <si>
    <t>Con số ước tính</t>
  </si>
  <si>
    <t>Số người/hộ gia đình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</si>
  <si>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</si>
  <si>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</si>
  <si>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</si>
  <si>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</si>
  <si>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</si>
  <si>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</si>
  <si>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</si>
  <si>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</si>
  <si>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</si>
  <si>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</si>
  <si>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</si>
  <si>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</si>
  <si>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</si>
  <si>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</si>
  <si>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</si>
  <si>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</si>
  <si>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</si>
  <si>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</si>
  <si>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</si>
  <si>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</si>
  <si>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</si>
  <si>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</si>
  <si>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</si>
  <si>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</si>
  <si>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</si>
  <si>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</si>
  <si>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</si>
  <si>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</si>
  <si>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</si>
  <si>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</si>
  <si>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</si>
  <si>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</si>
  <si>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</si>
  <si>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</si>
  <si>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</si>
  <si>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</si>
  <si>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</si>
  <si>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</si>
  <si>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</si>
  <si>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</si>
  <si>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</si>
  <si>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</si>
  <si>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</si>
  <si>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</si>
  <si>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</si>
  <si>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</si>
  <si>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</si>
  <si>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</si>
  <si>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</si>
  <si>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</si>
  <si>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</si>
  <si>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</si>
  <si>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</si>
  <si>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</si>
  <si>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</si>
  <si>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</si>
  <si>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</si>
  <si>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</si>
  <si>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</si>
  <si>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</si>
  <si>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</si>
  <si>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</si>
  <si>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</si>
  <si>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</si>
  <si>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</si>
  <si>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</si>
  <si>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</si>
  <si>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</si>
  <si>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</si>
  <si>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</si>
  <si>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</si>
  <si>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</si>
  <si>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</si>
  <si>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</si>
  <si>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</si>
  <si>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</si>
  <si>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</si>
  <si>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</si>
  <si>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</si>
  <si>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</si>
  <si>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</si>
  <si>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</si>
  <si>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</si>
  <si>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</si>
  <si>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</si>
  <si>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</si>
  <si>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</si>
  <si>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</si>
  <si>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</si>
  <si>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</si>
  <si>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</si>
  <si>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</si>
  <si>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</si>
  <si>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</si>
  <si>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</si>
  <si>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</si>
  <si>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</si>
  <si>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</si>
  <si>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</si>
  <si>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Volumul de apă nefacturată exprimat în % din volumul de apă intrat în sistem</t>
  </si>
  <si>
    <t>Indicatori de performanţă financiară</t>
  </si>
  <si>
    <t>Situaţia din ţările în curs de dezvoltare</t>
  </si>
  <si>
    <t>Componentele apei nefacturate vor fi evaluate pe baza (i) Tarifului Mediu - dacă apa poate fi comercializată sau (ii) Costului de Producţie şi Distribuţie dacă o reducere a componentei apei nefacturate (NRW) va duce doar la scăderea Volumului de apă care intră în sistem. Pentru estimare pe baza Tarifului Mediu introduceţi 1 iar pentru estimare pe baza Costului de Producţie şi Distribuţie introduceţi 2.</t>
  </si>
  <si>
    <t>Volumul total contorizat (export)</t>
  </si>
  <si>
    <t>Volumul total furnizat (export)</t>
  </si>
  <si>
    <t>Consumul măsurat cu contor şi facturat (fără export)</t>
  </si>
  <si>
    <t>Volumul contorizat nefacturat (fără export)</t>
  </si>
  <si>
    <t>Cazuri de înregistrare eronată a contoarelor</t>
  </si>
  <si>
    <t>Erori la procesarea datelor (birou)</t>
  </si>
  <si>
    <t>Conexiuni / branşamente ilegale - casnice</t>
  </si>
  <si>
    <t>Conexiuni / branşamente ilegale - altele</t>
  </si>
  <si>
    <t>Falsificarea, ocolirea contorului, etc. la consumatorii înregistraţi</t>
  </si>
  <si>
    <t>Denumirea companiei:</t>
  </si>
  <si>
    <t>Analiza comparativă cu indicatorii internaţionali (Benchmarking)</t>
  </si>
  <si>
    <t>(când sistemul este sub presiune) la o presiune medie de:</t>
  </si>
  <si>
    <t>Reducerea în continuare a pierderilor poate fi nerentabilă, cu excepţia cazurilor cand nu poate fi asigurat necesarul de apă ; este necesară o analiză detaliată pentru identificarea masurilor de îmbunătăţire eficiente din punct de vedere al costurilor</t>
  </si>
  <si>
    <t>Exista potenţial pentru îmbunătăţiri substanţiale; aveti in vedere managementului presiunii, practici mai bune de control activ al pierderilor şi o întreţinere mai bună a reţelei</t>
  </si>
  <si>
    <t>Inregistrare nesatisfăcătoare a pierderilor; situaţie acceptabilă doar în cazul abundenţei resurselor de apă şi a costului mic; chiar şi în astfel de cazuri însă este nevoie de o analiză a nivelului şi naturii pierderilor şi de o intensificare a măsurilor de reducere a acestora</t>
  </si>
  <si>
    <t>Utilizare a resurselor absolut ineficientă; programele de reducere a pierderilor sunt obligatorii şi au un nivel înalt de prioritate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</si>
  <si>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</si>
  <si>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5.) Codul culorilor:</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</si>
  <si>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</si>
  <si>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</si>
  <si>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</si>
  <si>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</si>
  <si>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</si>
  <si>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</si>
  <si>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Introduceţi 1 pentru a utiliza un % fix pentru înregistrările diminuate ale contoarelor sau 2 pentru introducerea manuală a volumelor şi înregistrărilor diminuate pe diferite tipuri de contoare sau tipuri de consumatori</t>
  </si>
  <si>
    <t xml:space="preserve">Numărul de consumatori inactivi cu branşament existent </t>
  </si>
  <si>
    <t>Volumele folosite pentru Bilantul apei sunt pe o perioada de:</t>
  </si>
  <si>
    <t>Bilanţul apei în m3/an</t>
  </si>
  <si>
    <t>Bilanţul apei în m3 pentru o perioadă de</t>
  </si>
  <si>
    <t>Bilanţul apei pe perioada</t>
  </si>
  <si>
    <t>Bilanţul apei în m3/zi</t>
  </si>
  <si>
    <t>Pierderi aparente exprimate în % din consumul autorizat</t>
  </si>
  <si>
    <t xml:space="preserve">Pierderi aparente </t>
  </si>
  <si>
    <t>Pierderi reale</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</si>
  <si>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</si>
  <si>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Înainte de a începe</t>
  </si>
  <si>
    <t>Lungimea conductei [km]</t>
  </si>
  <si>
    <t>Date financiare</t>
  </si>
  <si>
    <t>Costuri variabile de producţie şi distribuţie (Costul Marginal al Apei)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</si>
  <si>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</si>
  <si>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</si>
  <si>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</si>
  <si>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</si>
  <si>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</si>
  <si>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</si>
  <si>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</si>
  <si>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</si>
  <si>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</si>
  <si>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</si>
  <si>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</si>
  <si>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</si>
  <si>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</si>
  <si>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</si>
  <si>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</si>
  <si>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</si>
  <si>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</si>
  <si>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</si>
  <si>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</si>
  <si>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1 eingeben um einen eizigen Prozentsatz zu verwenden (Mittelwert für alle Zähler) oder 2 um Volumina und Prozentsätze für unterschiedliche Zähler typen oder Vunterschiedliche Verbrauchergruppen einzugeben</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</si>
  <si>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</si>
  <si>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</si>
  <si>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</si>
  <si>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</si>
  <si>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</si>
  <si>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</si>
  <si>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</si>
  <si>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</si>
  <si>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</si>
  <si>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</si>
  <si>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</si>
  <si>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</si>
  <si>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</si>
  <si>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</si>
  <si>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</si>
  <si>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</si>
  <si>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</si>
  <si>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</si>
  <si>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</si>
  <si>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</si>
  <si>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</si>
  <si>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</si>
  <si>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</si>
  <si>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</si>
  <si>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</si>
  <si>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</si>
  <si>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</si>
  <si>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</si>
  <si>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</si>
  <si>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</si>
  <si>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</si>
  <si>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</si>
  <si>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</si>
  <si>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</si>
  <si>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</si>
  <si>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</si>
  <si>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</si>
  <si>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</si>
  <si>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</si>
  <si>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</si>
  <si>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</si>
  <si>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</si>
  <si>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</si>
  <si>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</si>
  <si>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</si>
  <si>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</si>
  <si>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</si>
  <si>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</si>
  <si>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</si>
  <si>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</si>
  <si>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</si>
  <si>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</si>
  <si>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</si>
  <si>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</si>
  <si>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</si>
  <si>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</si>
  <si>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</si>
  <si>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</si>
  <si>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</si>
  <si>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</si>
  <si>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</si>
  <si>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</si>
  <si>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</si>
  <si>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</si>
  <si>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</si>
  <si>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</si>
  <si>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</si>
  <si>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</si>
  <si>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</si>
  <si>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</si>
  <si>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</si>
  <si>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</si>
  <si>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</si>
  <si>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</si>
  <si>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</si>
  <si>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</si>
  <si>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</si>
  <si>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</si>
  <si>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</si>
  <si>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</si>
  <si>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</si>
  <si>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</si>
  <si>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Daily Average Pressure
[m]</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</si>
  <si>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</si>
  <si>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</si>
  <si>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</si>
  <si>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</si>
  <si>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</si>
  <si>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</si>
  <si>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</si>
  <si>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</si>
  <si>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</si>
  <si>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</si>
  <si>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</si>
  <si>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</si>
  <si>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</si>
  <si>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</si>
  <si>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</si>
  <si>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</si>
  <si>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</si>
  <si>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</si>
  <si>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</si>
  <si>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</si>
  <si>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</si>
  <si>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</si>
  <si>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</si>
  <si>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</si>
  <si>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</si>
  <si>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</si>
  <si>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</si>
  <si>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</si>
  <si>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</si>
  <si>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</si>
  <si>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</si>
  <si>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</si>
  <si>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</si>
  <si>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</si>
  <si>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</si>
  <si>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</si>
  <si>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</si>
  <si>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</si>
  <si>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</si>
  <si>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</si>
  <si>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</si>
  <si>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</si>
  <si>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</si>
  <si>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</si>
  <si>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</si>
  <si>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</si>
  <si>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</si>
  <si>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</si>
  <si>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</si>
  <si>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</si>
  <si>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</si>
  <si>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</si>
  <si>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</si>
  <si>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</si>
  <si>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</si>
  <si>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</si>
  <si>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</si>
  <si>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</si>
  <si>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</si>
  <si>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</si>
  <si>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</si>
  <si>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</si>
  <si>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</si>
  <si>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</si>
  <si>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</si>
  <si>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</si>
  <si>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daily volume</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</si>
  <si>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</si>
  <si>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</si>
  <si>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</si>
  <si>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</si>
  <si>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</si>
  <si>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</si>
  <si>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</si>
  <si>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</si>
  <si>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</si>
  <si>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</si>
  <si>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</si>
  <si>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</si>
  <si>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</si>
  <si>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</si>
  <si>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</si>
  <si>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</si>
  <si>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</si>
  <si>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</si>
  <si>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</si>
  <si>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</si>
  <si>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</si>
  <si>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</si>
  <si>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</si>
  <si>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</si>
  <si>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</si>
  <si>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</si>
  <si>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</si>
  <si>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</si>
  <si>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</si>
  <si>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</si>
  <si>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</si>
  <si>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</si>
  <si>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</si>
  <si>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</si>
  <si>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</si>
  <si>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</si>
  <si>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</si>
  <si>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</si>
  <si>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</si>
  <si>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</si>
  <si>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</si>
  <si>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</si>
  <si>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</si>
  <si>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</si>
  <si>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</si>
  <si>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</si>
  <si>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</si>
  <si>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</si>
  <si>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</si>
  <si>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</si>
  <si>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</si>
  <si>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</si>
  <si>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</si>
  <si>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</si>
  <si>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</si>
  <si>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</si>
  <si>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</si>
  <si>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</si>
  <si>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</si>
  <si>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</si>
  <si>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</si>
  <si>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</si>
  <si>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</si>
  <si>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</si>
  <si>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</si>
  <si>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</si>
  <si>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</si>
  <si>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</si>
  <si>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</si>
  <si>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</si>
  <si>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</si>
  <si>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</si>
  <si>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</si>
  <si>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</si>
  <si>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</si>
  <si>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</si>
  <si>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</si>
  <si>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</si>
  <si>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</si>
  <si>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</si>
  <si>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</si>
  <si>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</si>
  <si>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</si>
  <si>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</si>
  <si>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</si>
  <si>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</si>
  <si>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</si>
  <si>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</si>
  <si>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</si>
  <si>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</si>
  <si>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</si>
  <si>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</si>
  <si>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</si>
  <si>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</si>
  <si>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</si>
  <si>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</si>
  <si>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</si>
  <si>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</si>
  <si>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</si>
  <si>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</si>
  <si>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</si>
  <si>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</si>
  <si>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</si>
  <si>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</si>
  <si>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</si>
  <si>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</si>
  <si>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</si>
  <si>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</si>
  <si>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</si>
  <si>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</si>
  <si>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</si>
  <si>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</si>
  <si>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</si>
  <si>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</si>
  <si>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</si>
  <si>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</si>
  <si>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</si>
  <si>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</si>
  <si>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</si>
  <si>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</si>
  <si>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</si>
  <si>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</si>
  <si>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</si>
  <si>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</si>
  <si>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</si>
  <si>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</si>
  <si>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</si>
  <si>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</si>
  <si>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</si>
  <si>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</si>
  <si>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</si>
  <si>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</si>
  <si>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</si>
  <si>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</si>
  <si>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</si>
  <si>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</si>
  <si>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</si>
  <si>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</si>
  <si>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</si>
  <si>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</si>
  <si>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</si>
  <si>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</si>
  <si>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</si>
  <si>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</si>
  <si>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</si>
  <si>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</si>
  <si>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</si>
  <si>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</si>
  <si>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</si>
  <si>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</si>
  <si>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</si>
  <si>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</si>
  <si>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</si>
  <si>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</si>
  <si>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</si>
  <si>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</si>
  <si>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</si>
  <si>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</si>
  <si>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</si>
  <si>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</si>
  <si>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</si>
  <si>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</si>
  <si>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</si>
  <si>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</si>
  <si>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</si>
  <si>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</si>
  <si>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</si>
  <si>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</si>
  <si>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 xml:space="preserve">Zile </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</si>
  <si>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</si>
  <si>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</si>
  <si>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</si>
  <si>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</si>
  <si>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</si>
  <si>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</si>
  <si>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</si>
  <si>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</si>
  <si>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</si>
  <si>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</si>
  <si>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</si>
  <si>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</si>
  <si>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</si>
  <si>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</si>
  <si>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</si>
  <si>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</si>
  <si>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</si>
  <si>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</si>
  <si>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</si>
  <si>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</si>
  <si>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</si>
  <si>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</si>
  <si>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</si>
  <si>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</si>
  <si>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</si>
  <si>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</si>
  <si>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</si>
  <si>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</si>
  <si>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</si>
  <si>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</si>
  <si>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</si>
  <si>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</si>
  <si>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</si>
  <si>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</si>
  <si>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</si>
  <si>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</si>
  <si>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Tariful mediu</t>
  </si>
  <si>
    <t>pe m3</t>
  </si>
  <si>
    <t>Valuta</t>
  </si>
  <si>
    <t>Valoarea anuală</t>
  </si>
  <si>
    <t>Consumul [litri/persoană/zi]</t>
  </si>
  <si>
    <t>Total [m3]</t>
  </si>
  <si>
    <t>Consumul [litri/branşament/zi]</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</si>
  <si>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</si>
  <si>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</si>
  <si>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</si>
  <si>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</si>
  <si>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Presión promedio [m]</t>
  </si>
  <si>
    <t>Tempo de abastecimento médio [h/dia]</t>
  </si>
  <si>
    <t>Pressão média [m]</t>
  </si>
  <si>
    <t>Tổng [km]</t>
  </si>
  <si>
    <t>Chiều dài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</si>
  <si>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</si>
  <si>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</si>
  <si>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</si>
  <si>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</si>
  <si>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</si>
  <si>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</si>
  <si>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</si>
  <si>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</si>
  <si>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</si>
  <si>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</si>
  <si>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</si>
  <si>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</si>
  <si>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</si>
  <si>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</si>
  <si>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</si>
  <si>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</si>
  <si>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</si>
  <si>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</si>
  <si>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</si>
  <si>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</si>
  <si>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</si>
  <si>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</si>
  <si>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</si>
  <si>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</si>
  <si>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</si>
  <si>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</si>
  <si>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</si>
  <si>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</si>
  <si>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</si>
  <si>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</si>
  <si>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Tiềm năng cải thiện rõ rệt; xem xét việc quản lý áp lực; cải thiện các biện pháp kiểm soát rò rỉ chủ động, và bảo dưỡng mạng tốt hơn</t>
  </si>
  <si>
    <t>Pénzügyi teljesítmény mutató</t>
  </si>
  <si>
    <t>Teljesítmény csoport</t>
  </si>
  <si>
    <t>Fejlett ország</t>
  </si>
  <si>
    <t>Fejlődő ország</t>
  </si>
  <si>
    <t>Átlag szolgáltatási idő [h/nap]</t>
  </si>
  <si>
    <t>Átlagnyomás [m]</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</si>
  <si>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</si>
  <si>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</si>
  <si>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</si>
  <si>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</si>
  <si>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</si>
  <si>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</si>
  <si>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</si>
  <si>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</si>
  <si>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</si>
  <si>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</si>
  <si>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</si>
  <si>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</si>
  <si>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</si>
  <si>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</si>
  <si>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</si>
  <si>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</si>
  <si>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</si>
  <si>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</si>
  <si>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</si>
  <si>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</si>
  <si>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</si>
  <si>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</si>
  <si>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</si>
  <si>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</si>
  <si>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</si>
  <si>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</si>
  <si>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</si>
  <si>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</si>
  <si>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</si>
  <si>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</si>
  <si>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</si>
  <si>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</si>
  <si>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</si>
  <si>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</si>
  <si>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</si>
  <si>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</si>
  <si>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</si>
  <si>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</si>
  <si>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</si>
  <si>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</si>
  <si>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</si>
  <si>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</si>
  <si>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</si>
  <si>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</si>
  <si>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</si>
  <si>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</si>
  <si>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</si>
  <si>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</si>
  <si>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</si>
  <si>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</si>
  <si>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</si>
  <si>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</si>
  <si>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</si>
  <si>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</si>
  <si>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</si>
  <si>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</si>
  <si>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</si>
  <si>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</si>
  <si>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</si>
  <si>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</si>
  <si>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</si>
  <si>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</si>
  <si>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</si>
  <si>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</si>
  <si>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</si>
  <si>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</si>
  <si>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</si>
  <si>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</si>
  <si>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</si>
  <si>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</si>
  <si>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</si>
  <si>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</si>
  <si>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</si>
  <si>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</si>
  <si>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</si>
  <si>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</si>
  <si>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</si>
  <si>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</si>
  <si>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</si>
  <si>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Pressione Media [m]</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</si>
  <si>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</si>
  <si>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</si>
  <si>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</si>
  <si>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</si>
  <si>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</si>
  <si>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</si>
  <si>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</si>
  <si>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</si>
  <si>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</si>
  <si>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</si>
  <si>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</si>
  <si>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</si>
  <si>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</si>
  <si>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</si>
  <si>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</si>
  <si>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</si>
  <si>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</si>
  <si>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</si>
  <si>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</si>
  <si>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</si>
  <si>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</si>
  <si>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</si>
  <si>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</si>
  <si>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</si>
  <si>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</si>
  <si>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</si>
  <si>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</si>
  <si>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</si>
  <si>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</si>
  <si>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</si>
  <si>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</si>
  <si>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</si>
  <si>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</si>
  <si>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</si>
  <si>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</si>
  <si>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Cân bằng Nước tính theo m3/năm</t>
  </si>
  <si>
    <t>Cân bằng Nước tính theo m3/ngày</t>
  </si>
  <si>
    <t>Cân bằng Nước tính theo m3 của giai đoạn</t>
  </si>
  <si>
    <t>Cân bằng Nước của giai đoạn</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</si>
  <si>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</si>
  <si>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</si>
  <si>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</si>
  <si>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</si>
  <si>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</si>
  <si>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</si>
  <si>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</si>
  <si>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</si>
  <si>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</si>
  <si>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</si>
  <si>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</si>
  <si>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</si>
  <si>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</si>
  <si>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</si>
  <si>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</si>
  <si>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</si>
  <si>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</si>
  <si>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</si>
  <si>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</si>
  <si>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</si>
  <si>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</si>
  <si>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</si>
  <si>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</si>
  <si>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</si>
  <si>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</si>
  <si>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</si>
  <si>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</si>
  <si>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</si>
  <si>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</si>
  <si>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</si>
  <si>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</si>
  <si>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</si>
  <si>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</si>
  <si>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</si>
  <si>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</si>
  <si>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</si>
  <si>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</si>
  <si>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</si>
  <si>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</si>
  <si>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</si>
  <si>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</si>
  <si>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</si>
  <si>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</si>
  <si>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</si>
  <si>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</si>
  <si>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</si>
  <si>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</si>
  <si>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</si>
  <si>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</si>
  <si>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</si>
  <si>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</si>
  <si>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</si>
  <si>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Tiêu thụ [l/người/ngày]</t>
  </si>
  <si>
    <t>Consumo [litros/persona/día]</t>
  </si>
  <si>
    <t>Потребление   [литр/отвод.линия/день]</t>
  </si>
  <si>
    <t>Tiêu thụ
[l/khách hàng/ngày]</t>
  </si>
  <si>
    <t>Потребление [м3/год]</t>
  </si>
  <si>
    <t>Tiêu thụ [m3/ngày]</t>
  </si>
  <si>
    <t>Среднее время подачи [ч/день]</t>
  </si>
  <si>
    <t>Thời gian cấp nước trung bình [h/ngày]</t>
  </si>
  <si>
    <t>Среднее давление [м]</t>
  </si>
  <si>
    <t>Áp lực trung bình [m]</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</si>
  <si>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</si>
  <si>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</si>
  <si>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</si>
  <si>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</si>
  <si>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</si>
  <si>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</si>
  <si>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</si>
  <si>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</si>
  <si>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</si>
  <si>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</si>
  <si>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</si>
  <si>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</si>
  <si>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</si>
  <si>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</si>
  <si>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</si>
  <si>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</si>
  <si>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</si>
  <si>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</si>
  <si>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</si>
  <si>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</si>
  <si>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</si>
  <si>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</si>
  <si>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</si>
  <si>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</si>
  <si>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</si>
  <si>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</si>
  <si>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</si>
  <si>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</si>
  <si>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</si>
  <si>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</si>
  <si>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</si>
  <si>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</si>
  <si>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</si>
  <si>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</si>
  <si>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</si>
  <si>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</si>
  <si>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</si>
  <si>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</si>
  <si>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</si>
  <si>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</si>
  <si>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</si>
  <si>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</si>
  <si>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</si>
  <si>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</si>
  <si>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</si>
  <si>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</si>
  <si>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</si>
  <si>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</si>
  <si>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</si>
  <si>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</si>
  <si>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</si>
  <si>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</si>
  <si>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</si>
  <si>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</si>
  <si>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</si>
  <si>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</si>
  <si>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</si>
  <si>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Modifică limba
Change Language</t>
  </si>
  <si>
    <t>Marja de eroare [+/-]:</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</si>
  <si>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</si>
  <si>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</si>
  <si>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</si>
  <si>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</si>
  <si>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</si>
  <si>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</si>
  <si>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</si>
  <si>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</si>
  <si>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</si>
  <si>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</si>
  <si>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</si>
  <si>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</si>
  <si>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</si>
  <si>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</si>
  <si>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</si>
  <si>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</si>
  <si>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</si>
  <si>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</si>
  <si>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</si>
  <si>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</si>
  <si>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</si>
  <si>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</si>
  <si>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</si>
  <si>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</si>
  <si>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</si>
  <si>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</si>
  <si>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</si>
  <si>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</si>
  <si>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</si>
  <si>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</si>
  <si>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</si>
  <si>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</si>
  <si>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</si>
  <si>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</si>
  <si>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</si>
  <si>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</si>
  <si>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</si>
  <si>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</si>
  <si>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</si>
  <si>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Prosječan pritisak [m]</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</si>
  <si>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</si>
  <si>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</si>
  <si>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</si>
  <si>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</si>
  <si>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</si>
  <si>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</si>
  <si>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</si>
  <si>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</si>
  <si>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</si>
  <si>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</si>
  <si>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</si>
  <si>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</si>
  <si>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</si>
  <si>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</si>
  <si>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</si>
  <si>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</si>
  <si>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</si>
  <si>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</si>
  <si>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</si>
  <si>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</si>
  <si>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</si>
  <si>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</si>
  <si>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</si>
  <si>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</si>
  <si>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</si>
  <si>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</si>
  <si>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</si>
  <si>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</si>
  <si>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</si>
  <si>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</si>
  <si>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</si>
  <si>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</si>
  <si>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</si>
  <si>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</si>
  <si>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</si>
  <si>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</si>
  <si>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</si>
  <si>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</si>
  <si>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</si>
  <si>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</si>
  <si>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</si>
  <si>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</si>
  <si>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</si>
  <si>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</si>
  <si>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</si>
  <si>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</si>
  <si>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</si>
  <si>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</si>
  <si>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</si>
  <si>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</si>
  <si>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</si>
  <si>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</si>
  <si>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</si>
  <si>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</si>
  <si>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</si>
  <si>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</si>
  <si>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</si>
  <si>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</si>
  <si>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</si>
  <si>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</si>
  <si>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</si>
  <si>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</si>
  <si>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</si>
  <si>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</si>
  <si>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Các hợp phần của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</si>
  <si>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</si>
  <si>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</si>
  <si>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</si>
  <si>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</si>
  <si>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</si>
  <si>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</si>
  <si>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</si>
  <si>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</si>
  <si>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</si>
  <si>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</si>
  <si>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</si>
  <si>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</si>
  <si>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</si>
  <si>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</si>
  <si>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</si>
  <si>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</si>
  <si>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</si>
  <si>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</si>
  <si>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</si>
  <si>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</si>
  <si>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</si>
  <si>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</si>
  <si>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</si>
  <si>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</si>
  <si>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</si>
  <si>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</si>
  <si>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</si>
  <si>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</si>
  <si>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</si>
  <si>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</si>
  <si>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</si>
  <si>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</si>
  <si>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</si>
  <si>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</si>
  <si>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</si>
  <si>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</si>
  <si>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</si>
  <si>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</si>
  <si>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</si>
  <si>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</si>
  <si>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</si>
  <si>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</si>
  <si>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</si>
  <si>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</si>
  <si>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</si>
  <si>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</si>
  <si>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</si>
  <si>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</si>
  <si>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</si>
  <si>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</si>
  <si>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</si>
  <si>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</si>
  <si>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</si>
  <si>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</si>
  <si>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</si>
  <si>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</si>
  <si>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</si>
  <si>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</si>
  <si>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</si>
  <si>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</si>
  <si>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</si>
  <si>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</si>
  <si>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</si>
  <si>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</si>
  <si>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</si>
  <si>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</si>
  <si>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</si>
  <si>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</si>
  <si>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</si>
  <si>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</si>
  <si>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</si>
  <si>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</si>
  <si>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</si>
  <si>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</si>
  <si>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</si>
  <si>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</si>
  <si>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</si>
  <si>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</si>
  <si>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</si>
  <si>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</si>
  <si>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</si>
  <si>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</si>
  <si>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</si>
  <si>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</si>
  <si>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</si>
  <si>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</si>
  <si>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</si>
  <si>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</si>
  <si>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</si>
  <si>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</si>
  <si>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</si>
  <si>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</si>
  <si>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</si>
  <si>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</si>
  <si>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</si>
  <si>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</si>
  <si>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</si>
  <si>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</si>
  <si>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</si>
  <si>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</si>
  <si>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</si>
  <si>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</si>
  <si>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</si>
  <si>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</si>
  <si>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</si>
  <si>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</si>
  <si>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</si>
  <si>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</si>
  <si>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</si>
  <si>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</si>
  <si>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</si>
  <si>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</si>
  <si>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</si>
  <si>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</si>
  <si>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</si>
  <si>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</si>
  <si>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</si>
  <si>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</si>
  <si>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</si>
  <si>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</si>
  <si>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</si>
  <si>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</si>
  <si>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Tekanan Rata-rata [m]</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</si>
  <si>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</si>
  <si>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</si>
  <si>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</si>
  <si>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</si>
  <si>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</si>
  <si>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Pression Moyenne [m]</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</si>
  <si>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</si>
  <si>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</si>
  <si>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</si>
  <si>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</si>
  <si>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</si>
  <si>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</si>
  <si>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</si>
  <si>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</si>
  <si>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</si>
  <si>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</si>
  <si>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</si>
  <si>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</si>
  <si>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</si>
  <si>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</si>
  <si>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</si>
  <si>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</si>
  <si>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</si>
  <si>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</si>
  <si>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</si>
  <si>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</si>
  <si>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</si>
  <si>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</si>
  <si>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</si>
  <si>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</si>
  <si>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</si>
  <si>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</si>
  <si>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</si>
  <si>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</si>
  <si>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</si>
  <si>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</si>
  <si>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</si>
  <si>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</si>
  <si>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</si>
  <si>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</si>
  <si>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</si>
  <si>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</si>
  <si>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</si>
  <si>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</si>
  <si>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Timpul de alimentare [zile pe săptămână]</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</si>
  <si>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</si>
  <si>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</si>
  <si>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</si>
  <si>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</si>
  <si>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</si>
  <si>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</si>
  <si>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</si>
  <si>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</si>
  <si>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</si>
  <si>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</si>
  <si>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</si>
  <si>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</si>
  <si>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</si>
  <si>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</si>
  <si>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</si>
  <si>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</si>
  <si>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</si>
  <si>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</si>
  <si>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</si>
  <si>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</si>
  <si>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</si>
  <si>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</si>
  <si>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</si>
  <si>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</si>
  <si>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</si>
  <si>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</si>
  <si>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</si>
  <si>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</si>
  <si>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</si>
  <si>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</si>
  <si>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</si>
  <si>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</si>
  <si>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</si>
  <si>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</si>
  <si>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</si>
  <si>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</si>
  <si>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</si>
  <si>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</si>
  <si>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</si>
  <si>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</si>
  <si>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</si>
  <si>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</si>
  <si>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</si>
  <si>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</si>
  <si>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</si>
  <si>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</si>
  <si>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</si>
  <si>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</si>
  <si>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</si>
  <si>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</si>
  <si>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</si>
  <si>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</si>
  <si>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</si>
  <si>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</si>
  <si>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</si>
  <si>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</si>
  <si>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</si>
  <si>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</si>
  <si>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</si>
  <si>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</si>
  <si>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</si>
  <si>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</si>
  <si>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</si>
  <si>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</si>
  <si>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</si>
  <si>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</si>
  <si>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</si>
  <si>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</si>
  <si>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</si>
  <si>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</si>
  <si>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</si>
  <si>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</si>
  <si>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</si>
  <si>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</si>
  <si>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</si>
  <si>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</si>
  <si>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</si>
  <si>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</si>
  <si>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</si>
  <si>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</si>
  <si>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</si>
  <si>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</si>
  <si>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</si>
  <si>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</si>
  <si>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</si>
  <si>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</si>
  <si>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</si>
  <si>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</si>
  <si>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</si>
  <si>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</si>
  <si>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</si>
  <si>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</si>
  <si>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</si>
  <si>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</si>
  <si>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m3/km de conducte pe oră (p.a.a.)</t>
  </si>
  <si>
    <t>Consumul nemăsurat nefacturat [m3]</t>
  </si>
  <si>
    <t>Consumul [m3/zi]</t>
  </si>
  <si>
    <t>Grafice</t>
  </si>
  <si>
    <t>Introducerea datelor</t>
  </si>
  <si>
    <t>Rezultate</t>
  </si>
  <si>
    <t>Explicaţii</t>
  </si>
  <si>
    <t>Setul de date internaţionale, selectate arbitrar</t>
  </si>
  <si>
    <t>Anul:</t>
  </si>
  <si>
    <t>Pierderi de apă – Volumul şi valoarea (costul)</t>
  </si>
  <si>
    <t>Matricea de evaluare a pierderilor fizice</t>
  </si>
  <si>
    <t>Categoria de performanţă tehnică</t>
  </si>
  <si>
    <t>Litri/branşament/zi</t>
  </si>
  <si>
    <t>Înapoi la indicatori</t>
  </si>
  <si>
    <t>Pagina principală</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</si>
  <si>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</si>
  <si>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</si>
  <si>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</si>
  <si>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</si>
  <si>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</si>
  <si>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</si>
  <si>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</si>
  <si>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</si>
  <si>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</si>
  <si>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</si>
  <si>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</si>
  <si>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</si>
  <si>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</si>
  <si>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</si>
  <si>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</si>
  <si>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</si>
  <si>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</si>
  <si>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</si>
  <si>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</si>
  <si>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</si>
  <si>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</si>
  <si>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</si>
  <si>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</si>
  <si>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</si>
  <si>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</si>
  <si>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</si>
  <si>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Indicatori de performanţă</t>
  </si>
  <si>
    <t>Datele despre reţea</t>
  </si>
  <si>
    <t>Presiunea</t>
  </si>
  <si>
    <t>Volumul de apă intrat în sistem</t>
  </si>
  <si>
    <t>Consumul facturat</t>
  </si>
  <si>
    <t>Consumul autorizat</t>
  </si>
  <si>
    <t>Pierderi de apă</t>
  </si>
  <si>
    <t>Consumul autorizat facturat</t>
  </si>
  <si>
    <t>Consumul autorizat nefacturat</t>
  </si>
  <si>
    <t>Apa facturată</t>
  </si>
  <si>
    <t>Apa nefacturată</t>
  </si>
  <si>
    <t>m3/zi</t>
  </si>
  <si>
    <t>Cea mai bună estimare</t>
  </si>
  <si>
    <t>Limita inferioară</t>
  </si>
  <si>
    <t>Limita superioară</t>
  </si>
  <si>
    <t>Grupul de indicatori de performanţă</t>
  </si>
  <si>
    <t>Situaţia din ţările dezvoltate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</si>
  <si>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</si>
  <si>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</si>
  <si>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</si>
  <si>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</si>
  <si>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</si>
  <si>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</si>
  <si>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</si>
  <si>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</si>
  <si>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</si>
  <si>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</si>
  <si>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</si>
  <si>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</si>
  <si>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</si>
  <si>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</si>
  <si>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</si>
  <si>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</si>
  <si>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</si>
  <si>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</si>
  <si>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</si>
  <si>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</si>
  <si>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</si>
  <si>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</si>
  <si>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</si>
  <si>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</si>
  <si>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</si>
  <si>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</si>
  <si>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</si>
  <si>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</si>
  <si>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</si>
  <si>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</si>
  <si>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</si>
  <si>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</si>
  <si>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</si>
  <si>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</si>
  <si>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</si>
  <si>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</si>
  <si>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</si>
  <si>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</si>
  <si>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</si>
  <si>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</si>
  <si>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</si>
  <si>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</si>
  <si>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</si>
  <si>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</si>
  <si>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</si>
  <si>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</si>
  <si>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</si>
  <si>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</si>
  <si>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</si>
  <si>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</si>
  <si>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</si>
  <si>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</si>
  <si>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</si>
  <si>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</si>
  <si>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</si>
  <si>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</si>
  <si>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</si>
  <si>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</si>
  <si>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</si>
  <si>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</si>
  <si>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</si>
  <si>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</si>
  <si>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</si>
  <si>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</si>
  <si>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</si>
  <si>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</si>
  <si>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</si>
  <si>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</si>
  <si>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</si>
  <si>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</si>
  <si>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</si>
  <si>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</si>
  <si>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</si>
  <si>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</si>
  <si>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</si>
  <si>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</si>
  <si>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</si>
  <si>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</si>
  <si>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</si>
  <si>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</si>
  <si>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</si>
  <si>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</si>
  <si>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</si>
  <si>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</si>
  <si>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</si>
  <si>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</si>
  <si>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</si>
  <si>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</si>
  <si>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</si>
  <si>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</si>
  <si>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</si>
  <si>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</si>
  <si>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</si>
  <si>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</si>
  <si>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</si>
  <si>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</si>
  <si>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</si>
  <si>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</si>
  <si>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</si>
  <si>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</si>
  <si>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</si>
  <si>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</si>
  <si>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</si>
  <si>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</si>
  <si>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</si>
  <si>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</si>
  <si>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</si>
  <si>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</si>
  <si>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</si>
  <si>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</si>
  <si>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</si>
  <si>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</si>
  <si>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</si>
  <si>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</si>
  <si>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</si>
  <si>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</si>
  <si>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</si>
  <si>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</si>
  <si>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</si>
  <si>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</si>
  <si>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</si>
  <si>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</si>
  <si>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</si>
  <si>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</si>
  <si>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</si>
  <si>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</si>
  <si>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</si>
  <si>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</si>
  <si>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</si>
  <si>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</si>
  <si>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</si>
  <si>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</si>
  <si>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</si>
  <si>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</si>
  <si>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</si>
  <si>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</si>
  <si>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</si>
  <si>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</si>
  <si>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</si>
  <si>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</si>
  <si>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</si>
  <si>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</si>
  <si>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</si>
  <si>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</si>
  <si>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</si>
  <si>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</si>
  <si>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</si>
  <si>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</si>
  <si>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</si>
  <si>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</si>
  <si>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</si>
  <si>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</si>
  <si>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</si>
  <si>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</si>
  <si>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</si>
  <si>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</si>
  <si>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</si>
  <si>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</si>
  <si>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</si>
  <si>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</si>
  <si>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</si>
  <si>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</si>
  <si>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</si>
  <si>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</si>
  <si>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</si>
  <si>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平均水压 [米]</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</si>
  <si>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</si>
  <si>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</si>
  <si>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</si>
  <si>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</si>
  <si>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</si>
  <si>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</si>
  <si>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</si>
  <si>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</si>
  <si>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</si>
  <si>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</si>
  <si>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</si>
  <si>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</si>
  <si>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</si>
  <si>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</si>
  <si>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</si>
  <si>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</si>
  <si>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</si>
  <si>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</si>
  <si>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</si>
  <si>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</si>
  <si>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</si>
  <si>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</si>
  <si>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</si>
  <si>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</si>
  <si>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</si>
  <si>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</si>
  <si>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</si>
  <si>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</si>
  <si>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</si>
  <si>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</si>
  <si>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</si>
  <si>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</si>
  <si>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</si>
  <si>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</si>
  <si>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</si>
  <si>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</si>
  <si>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</si>
  <si>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</si>
  <si>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</si>
  <si>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</si>
  <si>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</si>
  <si>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</si>
  <si>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</si>
  <si>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</si>
  <si>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</si>
  <si>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</si>
  <si>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</si>
  <si>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</si>
  <si>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</si>
  <si>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</si>
  <si>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</si>
  <si>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</si>
  <si>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</si>
  <si>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</si>
  <si>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</si>
  <si>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</si>
  <si>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</si>
  <si>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</si>
  <si>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</si>
  <si>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</si>
  <si>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</si>
  <si>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</si>
  <si>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</si>
  <si>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</si>
  <si>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</si>
  <si>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</si>
  <si>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</si>
  <si>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</si>
  <si>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</si>
  <si>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</si>
  <si>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</si>
  <si>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</si>
  <si>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</si>
  <si>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</si>
  <si>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</si>
  <si>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</si>
  <si>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</si>
  <si>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</si>
  <si>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</si>
  <si>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</si>
  <si>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</si>
  <si>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</si>
  <si>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</si>
  <si>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</si>
  <si>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</si>
  <si>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</si>
  <si>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</si>
  <si>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</si>
  <si>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</si>
  <si>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</si>
  <si>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</si>
  <si>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</si>
  <si>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</si>
  <si>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</si>
  <si>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</si>
  <si>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</si>
  <si>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</si>
  <si>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</si>
  <si>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</si>
  <si>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</si>
  <si>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</si>
  <si>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</si>
  <si>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</si>
  <si>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</si>
  <si>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</si>
  <si>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</si>
  <si>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</si>
  <si>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</si>
  <si>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</si>
  <si>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</si>
  <si>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</si>
  <si>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</si>
  <si>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</si>
  <si>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</si>
  <si>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</si>
  <si>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</si>
  <si>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</si>
  <si>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</si>
  <si>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</si>
  <si>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</si>
  <si>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</si>
  <si>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</si>
  <si>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</si>
  <si>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</si>
  <si>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</si>
  <si>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</si>
  <si>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</si>
  <si>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</si>
  <si>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</si>
  <si>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</si>
  <si>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</si>
  <si>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平均水壓 [公尺]</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</si>
  <si>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</si>
  <si>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</si>
  <si>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</si>
  <si>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</si>
  <si>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</si>
  <si>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</si>
  <si>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</si>
  <si>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</si>
  <si>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</si>
  <si>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</si>
  <si>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</si>
  <si>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</si>
  <si>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</si>
  <si>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</si>
  <si>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</si>
  <si>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</si>
  <si>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</si>
  <si>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</si>
  <si>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</si>
  <si>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</si>
  <si>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</si>
  <si>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</si>
  <si>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</si>
  <si>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</si>
  <si>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</si>
  <si>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</si>
  <si>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</si>
  <si>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</si>
  <si>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</si>
  <si>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</si>
  <si>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</si>
  <si>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</si>
  <si>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</si>
  <si>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</si>
  <si>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</si>
  <si>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</si>
  <si>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</si>
  <si>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</si>
  <si>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</si>
  <si>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</si>
  <si>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</si>
  <si>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</si>
  <si>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</si>
  <si>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</si>
  <si>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</si>
  <si>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</si>
  <si>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</si>
  <si>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</si>
  <si>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</si>
  <si>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</si>
  <si>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</si>
  <si>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</si>
  <si>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</si>
  <si>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</si>
  <si>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</si>
  <si>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</si>
  <si>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</si>
  <si>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</si>
  <si>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</si>
  <si>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</si>
  <si>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</si>
  <si>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</si>
  <si>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</si>
  <si>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</si>
  <si>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</si>
  <si>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</si>
  <si>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</si>
  <si>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</si>
  <si>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</si>
  <si>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</si>
  <si>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</si>
  <si>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</si>
  <si>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</si>
  <si>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</si>
  <si>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</si>
  <si>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</si>
  <si>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</si>
  <si>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</si>
  <si>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</si>
  <si>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</si>
  <si>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</si>
  <si>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</si>
  <si>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</si>
  <si>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</si>
  <si>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</si>
  <si>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</si>
  <si>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</si>
  <si>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</si>
  <si>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</si>
  <si>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</si>
  <si>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</si>
  <si>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</si>
  <si>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</si>
  <si>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</si>
  <si>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</si>
  <si>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</si>
  <si>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</si>
  <si>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</si>
  <si>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</si>
  <si>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ước tính thấp có thể có</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</si>
  <si>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</si>
  <si>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</si>
  <si>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</si>
  <si>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</si>
  <si>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</si>
  <si>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</si>
  <si>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</si>
  <si>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</si>
  <si>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</si>
  <si>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</si>
  <si>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</si>
  <si>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</si>
  <si>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</si>
  <si>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</si>
  <si>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</si>
  <si>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</si>
  <si>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</si>
  <si>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</si>
  <si>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</si>
  <si>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</si>
  <si>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</si>
  <si>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7.) Das Programm ist mit Paßwörtern geschützt die nicht bekannt gegeben werden.</t>
  </si>
  <si>
    <t>8.) GIGO - Garbage in Garbage out! Der Benutzer hat sich im Klaren zu sein, dass die Ergebnisse bei falschen Daten zu extrem falschen Schlußfolgerungen führen können.</t>
  </si>
  <si>
    <t>9.) It is ALWAYS recommended to carry out a thorough leakage analysis based on measurements in the distribution network to support and verify the physical loss figure calculated with this program.</t>
  </si>
  <si>
    <t>9.) Es ist IMMER empfehlenswert detailierte Messungen der tatsächlichen Leckverluste  durchzuführen und so den mit diesem Programm berechneten Wert zu verifizieren.</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</si>
  <si>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</si>
  <si>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</si>
  <si>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</si>
  <si>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</si>
  <si>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</si>
  <si>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</si>
  <si>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</si>
  <si>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</si>
  <si>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</si>
  <si>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</si>
  <si>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</si>
  <si>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</si>
  <si>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</si>
  <si>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</si>
  <si>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</si>
  <si>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</si>
  <si>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</si>
  <si>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</si>
  <si>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</si>
  <si>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</si>
  <si>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</si>
  <si>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</si>
  <si>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</si>
  <si>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</si>
  <si>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</si>
  <si>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</si>
  <si>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</si>
  <si>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</si>
  <si>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</si>
  <si>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</si>
  <si>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</si>
  <si>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</si>
  <si>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</si>
  <si>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</si>
  <si>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</si>
  <si>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</si>
  <si>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</si>
  <si>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</si>
  <si>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</si>
  <si>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</si>
  <si>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</si>
  <si>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</si>
  <si>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</si>
  <si>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</si>
  <si>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</si>
  <si>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</si>
  <si>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</si>
  <si>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</si>
  <si>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საშუალო წნევა [მ]</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</si>
  <si>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</si>
  <si>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</si>
  <si>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</si>
  <si>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</si>
  <si>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</si>
  <si>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</si>
  <si>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</si>
  <si>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</si>
  <si>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</si>
  <si>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</si>
  <si>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</si>
  <si>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</si>
  <si>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</si>
  <si>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</si>
  <si>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</si>
  <si>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</si>
  <si>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</si>
  <si>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</si>
  <si>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</si>
  <si>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</si>
  <si>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</si>
  <si>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</si>
  <si>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</si>
  <si>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</si>
  <si>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</si>
  <si>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</si>
  <si>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</si>
  <si>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</si>
  <si>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</si>
  <si>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</si>
  <si>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</si>
  <si>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</si>
  <si>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</si>
  <si>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</si>
  <si>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</si>
  <si>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</si>
  <si>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</si>
  <si>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</si>
  <si>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</si>
  <si>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</si>
  <si>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</si>
  <si>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</si>
  <si>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</si>
  <si>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</si>
  <si>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</si>
  <si>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</si>
  <si>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</si>
  <si>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</si>
  <si>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</si>
  <si>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</si>
  <si>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</si>
  <si>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</si>
  <si>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</si>
  <si>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</si>
  <si>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</si>
  <si>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</si>
  <si>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</si>
  <si>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</si>
  <si>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</si>
  <si>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</si>
  <si>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</si>
  <si>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</si>
  <si>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</si>
  <si>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</si>
  <si>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</si>
  <si>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</si>
  <si>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</si>
  <si>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</si>
  <si>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</si>
  <si>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</si>
  <si>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</si>
  <si>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</si>
  <si>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</si>
  <si>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</si>
  <si>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</si>
  <si>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</si>
  <si>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</si>
  <si>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</si>
  <si>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</si>
  <si>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</si>
  <si>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</si>
  <si>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</si>
  <si>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</si>
  <si>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</si>
  <si>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</si>
  <si>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</si>
  <si>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</si>
  <si>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</si>
  <si>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</si>
  <si>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</si>
  <si>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</si>
  <si>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</si>
  <si>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</si>
  <si>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</si>
  <si>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</si>
  <si>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</si>
  <si>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</si>
  <si>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</si>
  <si>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</si>
  <si>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</si>
  <si>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</si>
  <si>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</si>
  <si>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</si>
  <si>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</si>
  <si>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</si>
  <si>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</si>
  <si>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</si>
  <si>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</si>
  <si>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</si>
  <si>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</si>
  <si>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</si>
  <si>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</si>
  <si>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</si>
  <si>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</si>
  <si>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</si>
  <si>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</si>
  <si>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</si>
  <si>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</si>
  <si>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</si>
  <si>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</si>
  <si>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</si>
  <si>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</si>
  <si>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</si>
  <si>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</si>
  <si>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</si>
  <si>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</si>
  <si>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</si>
  <si>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</si>
  <si>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</si>
  <si>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</si>
  <si>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</si>
  <si>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</si>
  <si>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</si>
  <si>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</si>
  <si>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</si>
  <si>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</si>
  <si>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</si>
  <si>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</si>
  <si>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</si>
  <si>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</si>
  <si>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</si>
  <si>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</si>
  <si>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</si>
  <si>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</si>
  <si>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</si>
  <si>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</si>
  <si>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Средно налягане (м)</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</si>
  <si>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</si>
  <si>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</si>
  <si>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</si>
  <si>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</si>
  <si>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</si>
  <si>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</si>
  <si>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</si>
  <si>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</si>
  <si>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</si>
  <si>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</si>
  <si>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</si>
  <si>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</si>
  <si>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</si>
  <si>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</si>
  <si>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</si>
  <si>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</si>
  <si>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</si>
  <si>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</si>
  <si>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</si>
  <si>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</si>
  <si>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</si>
  <si>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</si>
  <si>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</si>
  <si>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</si>
  <si>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</si>
  <si>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</si>
  <si>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</si>
  <si>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</si>
  <si>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</si>
  <si>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</si>
  <si>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</si>
  <si>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</si>
  <si>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</si>
  <si>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</si>
  <si>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</si>
  <si>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</si>
  <si>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</si>
  <si>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</si>
  <si>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</si>
  <si>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</si>
  <si>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</si>
  <si>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</si>
  <si>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</si>
  <si>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</si>
  <si>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</si>
  <si>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</si>
  <si>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</si>
  <si>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</si>
  <si>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</si>
  <si>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</si>
  <si>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</si>
  <si>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</si>
  <si>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</si>
  <si>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</si>
  <si>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</si>
  <si>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</si>
  <si>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</si>
  <si>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</si>
  <si>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</si>
  <si>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</si>
  <si>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</si>
  <si>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</si>
  <si>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</si>
  <si>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</si>
  <si>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</si>
  <si>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</si>
  <si>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</si>
  <si>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</si>
  <si>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</si>
  <si>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</si>
  <si>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</si>
  <si>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</si>
  <si>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</si>
  <si>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</si>
  <si>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</si>
  <si>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</si>
  <si>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</si>
  <si>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</si>
  <si>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</si>
  <si>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</si>
  <si>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</si>
  <si>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</si>
  <si>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</si>
  <si>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</si>
  <si>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</si>
  <si>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</si>
  <si>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</si>
  <si>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</si>
  <si>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</si>
  <si>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</si>
  <si>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</si>
  <si>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</si>
  <si>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</si>
  <si>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</si>
  <si>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</si>
  <si>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</si>
  <si>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</si>
  <si>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</si>
  <si>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</si>
  <si>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</si>
  <si>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</si>
  <si>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</si>
  <si>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</si>
  <si>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</si>
  <si>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</si>
  <si>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</si>
  <si>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</si>
  <si>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</si>
  <si>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</si>
  <si>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</si>
  <si>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</si>
  <si>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</si>
  <si>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</si>
  <si>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</si>
  <si>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</si>
  <si>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</si>
  <si>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</si>
  <si>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</si>
  <si>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</si>
  <si>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</si>
  <si>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</si>
  <si>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</si>
  <si>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</si>
  <si>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</si>
  <si>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</si>
  <si>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</si>
  <si>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</si>
  <si>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</si>
  <si>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</si>
  <si>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</si>
  <si>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</si>
  <si>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</si>
  <si>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</si>
  <si>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</si>
  <si>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</si>
  <si>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</si>
  <si>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</si>
  <si>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</si>
  <si>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</si>
  <si>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</si>
  <si>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</si>
  <si>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</si>
  <si>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</si>
  <si>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</si>
  <si>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</si>
  <si>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</si>
  <si>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</si>
  <si>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</si>
  <si>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</si>
  <si>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</si>
  <si>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</si>
  <si>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</si>
  <si>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</si>
  <si>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</si>
  <si>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</si>
  <si>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</si>
  <si>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</si>
  <si>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</si>
  <si>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</si>
  <si>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</si>
  <si>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</si>
  <si>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</si>
  <si>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</si>
  <si>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</si>
  <si>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</si>
  <si>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</si>
  <si>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</si>
  <si>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</si>
  <si>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</si>
  <si>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</si>
  <si>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</si>
  <si>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</si>
  <si>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</si>
  <si>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</si>
  <si>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</si>
  <si>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</si>
  <si>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</si>
  <si>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</si>
  <si>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</si>
  <si>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</si>
  <si>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</si>
  <si>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</si>
  <si>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</si>
  <si>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</si>
  <si>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</si>
  <si>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</si>
  <si>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</si>
  <si>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</si>
  <si>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</si>
  <si>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</si>
  <si>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</si>
  <si>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</si>
  <si>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</si>
  <si>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</si>
  <si>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</si>
  <si>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</si>
  <si>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</si>
  <si>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</si>
  <si>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</si>
  <si>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</si>
  <si>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</si>
  <si>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</si>
  <si>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</si>
  <si>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</si>
  <si>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</si>
  <si>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</si>
  <si>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</si>
  <si>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</si>
  <si>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</si>
  <si>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</si>
  <si>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</si>
  <si>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</si>
  <si>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</si>
  <si>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</si>
  <si>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</si>
  <si>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</si>
  <si>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</si>
  <si>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</si>
  <si>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</si>
  <si>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</si>
  <si>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</si>
  <si>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</si>
  <si>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</si>
  <si>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</si>
  <si>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</si>
  <si>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</si>
  <si>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</si>
  <si>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</si>
  <si>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</si>
  <si>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</si>
  <si>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</si>
  <si>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</si>
  <si>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</si>
  <si>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</si>
  <si>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</si>
  <si>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</si>
  <si>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</si>
  <si>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</si>
  <si>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</si>
  <si>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</si>
  <si>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</si>
  <si>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</si>
  <si>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</si>
  <si>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</si>
  <si>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</si>
  <si>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</si>
  <si>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</si>
  <si>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</si>
  <si>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</si>
  <si>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</si>
  <si>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</si>
  <si>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</si>
  <si>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</si>
  <si>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Potenzial für deutliche Verbesserungen; erstelle eine Wasserbilanz um die  Komponenten der Wasserverluste zu quantifizieren;ziehe Druckreduktion, intensivere Lecksuche und eine bessere Wartung des Netzes in Betracht; Verbesserung des Kundenwasserzählermanagements, Zählerablesung, Datenverarbeitung und Abrechnung untersuchen und Verbesserungspotenziale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</si>
  <si>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</si>
  <si>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</si>
  <si>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</si>
  <si>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</si>
  <si>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</si>
  <si>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</si>
  <si>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</si>
  <si>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</si>
  <si>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</si>
  <si>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</si>
  <si>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</si>
  <si>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</si>
  <si>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</si>
  <si>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</si>
  <si>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</si>
  <si>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</si>
  <si>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</si>
  <si>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</si>
  <si>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</si>
  <si>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</si>
  <si>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</si>
  <si>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</si>
  <si>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</si>
  <si>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</si>
  <si>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</si>
  <si>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</si>
  <si>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</si>
  <si>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</si>
  <si>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</si>
  <si>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</si>
  <si>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</si>
  <si>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</si>
  <si>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</si>
  <si>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 xml:space="preserve">1.) WB-EasyCalc wurde 2006 entwickelt um Wasserversorgern und Consultants zuhelfen, die IWA Water Loss Specialist Group Methodik korrekt anzuwenden. In den letzten 10 Jahren wurde es zum weltweit bevorzugten Wasserverlust-Analysewerkzeug. Rechzeitig zum zehnten Geburtstag wurde Version 5 veröffentlicht. </t>
  </si>
  <si>
    <t>Gesamtvolumen (m3/Tag)</t>
  </si>
  <si>
    <t>Volumen dass an bestehende oder zusätzliche Abnehmer verkauft werden könnte (m3/Tag)</t>
  </si>
  <si>
    <t>Entwicklungsländer</t>
  </si>
  <si>
    <t>Copy "Present" to this column</t>
  </si>
  <si>
    <t>Click the button to copy "Present" to this column</t>
  </si>
  <si>
    <t>Aktuell</t>
  </si>
  <si>
    <t>Speichere Daten von bis zu 10 Jahren un kopiere sie einfach in andere Dokumente.</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</si>
  <si>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</si>
  <si>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</si>
  <si>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</si>
  <si>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</si>
  <si>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</si>
  <si>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</si>
  <si>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</si>
  <si>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</si>
  <si>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</si>
  <si>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</si>
  <si>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</si>
  <si>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</si>
  <si>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</si>
  <si>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</si>
  <si>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</si>
  <si>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</si>
  <si>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</si>
  <si>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</si>
  <si>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</si>
  <si>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</si>
  <si>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</si>
  <si>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</si>
  <si>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</si>
  <si>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</si>
  <si>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</si>
  <si>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</si>
  <si>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</si>
  <si>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</si>
  <si>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</si>
  <si>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</si>
  <si>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</si>
  <si>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</si>
  <si>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</si>
  <si>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</si>
  <si>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</si>
  <si>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</si>
  <si>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</si>
  <si>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</si>
  <si>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</si>
  <si>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</si>
  <si>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</si>
  <si>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</si>
  <si>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</si>
  <si>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</si>
  <si>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</si>
  <si>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</si>
  <si>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</si>
  <si>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</si>
  <si>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</si>
  <si>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</si>
  <si>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</si>
  <si>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</si>
  <si>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</si>
  <si>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</si>
  <si>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</si>
  <si>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</si>
  <si>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</si>
  <si>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</si>
  <si>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</si>
  <si>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</si>
  <si>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</si>
  <si>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</si>
  <si>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</si>
  <si>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</si>
  <si>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</si>
  <si>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</si>
  <si>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</si>
  <si>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</si>
  <si>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</si>
  <si>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</si>
  <si>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</si>
  <si>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</si>
  <si>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</si>
  <si>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</si>
  <si>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</si>
  <si>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</si>
  <si>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</si>
  <si>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</si>
  <si>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</si>
  <si>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</si>
  <si>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</si>
  <si>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</si>
  <si>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</si>
  <si>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Volumen das zusätzlich an bestehende Abnehmber verkauft wird</t>
  </si>
  <si>
    <t>additional m3/d</t>
  </si>
  <si>
    <t>adicional m3/d</t>
  </si>
  <si>
    <t>m3/Tag zusätzlich</t>
  </si>
  <si>
    <t>And now we start with the contributions to version 5:</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</si>
  <si>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</si>
  <si>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</si>
  <si>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</si>
  <si>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</si>
  <si>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</si>
  <si>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</si>
  <si>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</si>
  <si>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</si>
  <si>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</si>
  <si>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</si>
  <si>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</si>
  <si>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Costuri variabile de producţie şi distribuţie </t>
  </si>
  <si>
    <t xml:space="preserve">Troškovi proizvodnje i distribucije        </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</si>
  <si>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</si>
  <si>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</si>
  <si>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</si>
  <si>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</si>
  <si>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</si>
  <si>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</si>
  <si>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</si>
  <si>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</si>
  <si>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</si>
  <si>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</si>
  <si>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</si>
  <si>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</si>
  <si>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</si>
  <si>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</si>
  <si>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</si>
  <si>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</si>
  <si>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</si>
  <si>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</si>
  <si>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</si>
  <si>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</si>
  <si>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</si>
  <si>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</si>
  <si>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</si>
  <si>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</si>
  <si>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</si>
  <si>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</si>
  <si>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</si>
  <si>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</si>
  <si>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</si>
  <si>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</si>
  <si>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</si>
  <si>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</si>
  <si>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</si>
  <si>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</si>
  <si>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</si>
  <si>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</si>
  <si>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</si>
  <si>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</si>
  <si>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</si>
  <si>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</si>
  <si>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</si>
  <si>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Průměrný tlak [m]</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</si>
  <si>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</si>
  <si>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</si>
  <si>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</si>
  <si>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</si>
  <si>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</si>
  <si>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</si>
  <si>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</si>
  <si>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</si>
  <si>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</si>
  <si>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</si>
  <si>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</si>
  <si>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</si>
  <si>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</si>
  <si>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</si>
  <si>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</si>
  <si>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</si>
  <si>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</si>
  <si>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</si>
  <si>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</si>
  <si>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</si>
  <si>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</si>
  <si>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</si>
  <si>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</si>
  <si>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</si>
  <si>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</si>
  <si>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</si>
  <si>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</si>
  <si>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</si>
  <si>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</si>
  <si>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</si>
  <si>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</si>
  <si>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</si>
  <si>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</si>
  <si>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</si>
  <si>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</si>
  <si>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</si>
  <si>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</si>
  <si>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</si>
  <si>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</si>
  <si>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</si>
  <si>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</si>
  <si>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</si>
  <si>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</si>
  <si>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</si>
  <si>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</si>
  <si>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</si>
  <si>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</si>
  <si>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</si>
  <si>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</si>
  <si>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</si>
  <si>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</si>
  <si>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</si>
  <si>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</si>
  <si>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</si>
  <si>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</si>
  <si>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</si>
  <si>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</si>
  <si>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</si>
  <si>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</si>
  <si>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</si>
  <si>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</si>
  <si>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</si>
  <si>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</si>
  <si>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</si>
  <si>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</si>
  <si>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</si>
  <si>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</si>
  <si>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</si>
  <si>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</si>
  <si>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</si>
  <si>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</si>
  <si>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</si>
  <si>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</si>
  <si>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</si>
  <si>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</si>
  <si>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</si>
  <si>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</si>
  <si>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</si>
  <si>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</si>
  <si>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</si>
  <si>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</si>
  <si>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</si>
  <si>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</si>
  <si>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</si>
  <si>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</si>
  <si>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</si>
  <si>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</si>
  <si>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</si>
  <si>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</si>
  <si>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</si>
  <si>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</si>
  <si>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</si>
  <si>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</si>
  <si>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</si>
  <si>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</si>
  <si>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</si>
  <si>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</si>
  <si>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</si>
  <si>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</si>
  <si>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</si>
  <si>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</si>
  <si>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</si>
  <si>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</si>
  <si>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</si>
  <si>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</si>
  <si>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</si>
  <si>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</si>
  <si>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</si>
  <si>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</si>
  <si>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</si>
  <si>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</si>
  <si>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</si>
  <si>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</si>
  <si>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</si>
  <si>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</si>
  <si>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</si>
  <si>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</si>
  <si>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</si>
  <si>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</si>
  <si>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</si>
  <si>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</si>
  <si>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</si>
  <si>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</si>
  <si>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</si>
  <si>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</si>
  <si>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</si>
  <si>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</si>
  <si>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</si>
  <si>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</si>
  <si>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</si>
  <si>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</si>
  <si>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</si>
  <si>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</si>
  <si>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</si>
  <si>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</si>
  <si>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</si>
  <si>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</si>
  <si>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</si>
  <si>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</si>
  <si>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</si>
  <si>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</si>
  <si>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</si>
  <si>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</si>
  <si>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</si>
  <si>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</si>
  <si>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</si>
  <si>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</si>
  <si>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</si>
  <si>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t>Consumo não medido não faturado [m3]
[m3]</t>
  </si>
  <si>
    <t>Células azuis são para valores calculados</t>
  </si>
  <si>
    <t>Tempo médio de abastecimento</t>
  </si>
  <si>
    <t>FERRAMENTA "E SE"</t>
  </si>
  <si>
    <t>SE</t>
  </si>
  <si>
    <t>ENTÃO</t>
  </si>
  <si>
    <t>h/dia</t>
  </si>
  <si>
    <t>l/lig./dia</t>
  </si>
  <si>
    <t>para</t>
  </si>
  <si>
    <t>muda</t>
  </si>
  <si>
    <t>aumenta</t>
  </si>
  <si>
    <t>l/lig./dia (q.s.p.)</t>
  </si>
  <si>
    <t>irá aumentar aproximadamente</t>
  </si>
  <si>
    <t>irá mudar aproximadamente</t>
  </si>
  <si>
    <t>Comprimento de redes</t>
  </si>
  <si>
    <t>Faturamento Anual</t>
  </si>
  <si>
    <t>Custo Anual de Operação</t>
  </si>
  <si>
    <t>O volume de perdas de água</t>
  </si>
  <si>
    <t>O valor de perdas de água</t>
  </si>
  <si>
    <t>% do Volume de Entrada no Sistema</t>
  </si>
  <si>
    <t>% do Custo Total Anual de Operação</t>
  </si>
  <si>
    <t>IIE</t>
  </si>
  <si>
    <t>irá mudas aproximadamente</t>
  </si>
  <si>
    <t>Número de Clientes (Ativos)</t>
  </si>
  <si>
    <t>litros/cliente/dia</t>
  </si>
  <si>
    <t>Indicadores de Performance de Perdas</t>
  </si>
  <si>
    <t>Redução adicional de perda pode não ser econômica, a menos que haja insuficiência de abastecimento ou tarifas muito altas; são necessárias análises mais criteriosas para identificar melhorias economicamente viáveis.</t>
  </si>
  <si>
    <t>Potencial para melhorias significativas; validar um balanço hídrico para quantificar os componentes de perdas; considerar gerenciamento de pressão, melhores práticas de controle ativo de vazamentos, e melhor manutenção da rede; melhorar o gerenciamento de medidores de clientes, revisar procedimentos de leituras de medidores, manuseio de dados e processamento de contas e identificar potenciais de melhoria.</t>
  </si>
  <si>
    <t>Registro deficiente de vazamentos; tolerável somente se a água é abundante e barata; mesmo assim, analisar o nível e a natureza das perdas e intensificar os esforços para redução de perdas</t>
  </si>
  <si>
    <t>Muito ineficiente; um programa abrangente de redução de perdas é imperativo e altamente prioritário</t>
  </si>
  <si>
    <t>Matriz Internacional de Avaliação de Perdas</t>
  </si>
  <si>
    <t>Volume Total (m3/d)</t>
  </si>
  <si>
    <t>Volume que pode ser vendido para consumidores novos ou existentes (m3/d)</t>
  </si>
  <si>
    <t>Armazena até 10 anos de dados e copia/cola facilmente para outras planilhas de Excel!</t>
  </si>
  <si>
    <t>Clique no botão para copiar "Presente" para esta coluna</t>
  </si>
  <si>
    <t>Presente</t>
  </si>
  <si>
    <t>Dados históricos</t>
  </si>
  <si>
    <t>Volume adicional vendido a clientes existentes</t>
  </si>
  <si>
    <t>m3/d adicional</t>
  </si>
  <si>
    <r>
      <t xml:space="preserve">My wonderful friend </t>
    </r>
    <r>
      <rPr>
        <b/>
        <sz val="11"/>
        <rFont val="Calibri"/>
        <family val="2"/>
        <scheme val="minor"/>
      </rPr>
      <t>Engª. Milene Aguiar</t>
    </r>
    <r>
      <rPr>
        <sz val="11"/>
        <rFont val="Calibri"/>
        <family val="2"/>
        <scheme val="minor"/>
      </rPr>
      <t xml:space="preserve"> from Restor (São Paulo) made the effort to complete and correct the Portuguese language version. Muito obrigado!</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</si>
  <si>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t>
    </r>
  </si>
  <si>
    <t>1.) WB-EasyCalc foi desenvolvido em 2006 para ajudar Empresas de Distribuição de Água e Consultores a aplicar apropriadamente a Metodologia do Grupo Especializado em Perdas Água da IWA. Durante os últimos 10 anos, se tornou a ferramenta de análise de controle de perdas de água preferida para Empresas de Distribuição de Água em todo o mundo. Celebrando seu 10º aniversário, a versão 5 foi disponibilizada em Agosto de 2016.</t>
  </si>
  <si>
    <t>Jumlah Pelanggan (aktif)</t>
  </si>
  <si>
    <t>ATR Kinerja Indikator</t>
  </si>
  <si>
    <t>Kinerja pngelolaan kebocoran kelas dunia; secara teoritis kemungkinannya hanya marjinal untuk penurunan lebih lanjut.</t>
  </si>
  <si>
    <t>Kinerja pngelolaan kebocoran kelas dunia; potensi pengurangan ATR yang lebih lanjut kecil, kecuali masih ada potensi untuk penurunan tekanan atau perbaikan keakuratan dari meter pelanggan besar.</t>
  </si>
  <si>
    <t>Penurunan ATR lebih lanjut mungkin tidak ekonomis kecuali terdapat kelangkaan sumber air atau tarif air yang tingii, audit air yang detail diperlukan untuk identifikasi perbaikan dengan biaya yang ekonomis.</t>
  </si>
  <si>
    <t xml:space="preserve">Potensi perbaikan, menyusun sebuah neraca air untuk menghitung komponen ATR, pertimbangkan pengelolaan tekanan, lebih baik lagi menerapkan pengendalian kebocoran secara aktif, pemeliharaan jaringan yang baik, memperbaiki pengelolaan pembacaan meter, meninjau pembacaan meter, penanganan data dan proses penagihan dan identifikasi perbaikan yang potensial. </t>
  </si>
  <si>
    <t xml:space="preserve">ATR yang buruk, bisa ditoleransi apabila terdapat air yang berlimpah dan murah, walaupun demikian perlu upaya untuk analisis tingkat dan penyebab dan intensitas ATR </t>
  </si>
  <si>
    <t>Sangat tidak efisien, program penurunan ATR yang komprehendif diperlukan dan prioritas utama</t>
  </si>
  <si>
    <t>Matrix Penilaian ATR Internasional</t>
  </si>
  <si>
    <t>Volume Total (m3/hari)</t>
  </si>
  <si>
    <t>Volume yang bisa dijual kepada pelanggan yang sudah ada atau pelanggan baru (m3/hari)</t>
  </si>
  <si>
    <t>Data disimpan sampai 1o tahun dan mudah di  copt/paste ke lembar Excell yang lain.</t>
  </si>
  <si>
    <t>Tekan tombol untuk meng copy "Sajikan" pada kolom ini</t>
  </si>
  <si>
    <t>Riwayat data</t>
  </si>
  <si>
    <t>Tambahan volume terjual ke pelanggan yang ada</t>
  </si>
  <si>
    <t>tambahan m3/hari</t>
  </si>
  <si>
    <t xml:space="preserve">Sajikan </t>
  </si>
  <si>
    <t>l/pelanggan/hari</t>
  </si>
  <si>
    <t>1.) WB-EasyCalc rirancang pada tahun  2006 untuk membantu perusahaan air minum dan konsultan untuk menerapkan IWA Water Loss Specialist Group Methodology dengan baik. Selama 10 tahun terakhir telah menjadi alat analisis ATR yang disukai didunia.  Untuk memperingati 10 tahun usianya, , versi telah diterbitkan pada bulan Agustus 2016.</t>
  </si>
  <si>
    <t>Sambungan tak resmi- rumah tangga</t>
  </si>
  <si>
    <t>Sambungan tak resmi - lainnya</t>
  </si>
  <si>
    <t>Bidang biru gelap dihitung nilainya</t>
  </si>
  <si>
    <t>Bidang putih untuk data entry</t>
  </si>
  <si>
    <t>Entri data</t>
  </si>
  <si>
    <r>
      <rPr>
        <b/>
        <sz val="11"/>
        <rFont val="Calibri"/>
        <family val="2"/>
        <scheme val="minor"/>
      </rPr>
      <t>Mr.</t>
    </r>
    <r>
      <rPr>
        <sz val="11"/>
        <rFont val="Calibri"/>
        <family val="2"/>
        <scheme val="minor"/>
      </rPr>
      <t xml:space="preserve"> </t>
    </r>
    <r>
      <rPr>
        <b/>
        <sz val="11"/>
        <rFont val="Calibri"/>
        <family val="2"/>
        <scheme val="minor"/>
      </rPr>
      <t>Kevin Horn</t>
    </r>
    <r>
      <rPr>
        <sz val="11"/>
        <rFont val="Calibri"/>
        <family val="2"/>
        <scheme val="minor"/>
      </rPr>
      <t xml:space="preserve"> and the </t>
    </r>
    <r>
      <rPr>
        <b/>
        <sz val="11"/>
        <rFont val="Calibri"/>
        <family val="2"/>
        <scheme val="minor"/>
      </rPr>
      <t>Sachsen Wasser Team</t>
    </r>
    <r>
      <rPr>
        <sz val="11"/>
        <rFont val="Calibri"/>
        <family val="2"/>
        <scheme val="minor"/>
      </rPr>
      <t xml:space="preserve"> in Georgia contributed the translation into Georgian language. Thank you very much Kevin and Sachsen Wasser team!</t>
    </r>
  </si>
  <si>
    <t>Balanci i Ujit</t>
  </si>
  <si>
    <t>Treguesit e Performancës</t>
  </si>
  <si>
    <t>Të Dhënat për Rrjetin</t>
  </si>
  <si>
    <t>Vëllimi Hyrës në Sistem</t>
  </si>
  <si>
    <t>Konsumi i Faturuar</t>
  </si>
  <si>
    <t>Konsumi i Pa-faturuar</t>
  </si>
  <si>
    <t>Konsumi i Pa-autorizuar</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</si>
  <si>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</si>
  <si>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</si>
  <si>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</si>
  <si>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</si>
  <si>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</si>
  <si>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</si>
  <si>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</si>
  <si>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</si>
  <si>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Faturuar</t>
  </si>
  <si>
    <t>Konsumi i Matur i Pa-faturuar</t>
  </si>
  <si>
    <t>Konsumi i Pa-matur i Pa-faturuar</t>
  </si>
  <si>
    <t>Pasaktësitë e Ujëmatësve të Konsumatorëve dhe Gabimi në Trajtimin e të Dhënave </t>
  </si>
  <si>
    <t>Uji i Faturuar</t>
  </si>
  <si>
    <t>Uji i Pa-faturuar</t>
  </si>
  <si>
    <t>Margjina e Gabimit [+/-]</t>
  </si>
  <si>
    <t>Margjina e Gabimit [+/- %]</t>
  </si>
  <si>
    <t>Kufiri i Poshtëm</t>
  </si>
  <si>
    <t>Kufiri i Sipërm</t>
  </si>
  <si>
    <t>Niveli i Shërbimit</t>
  </si>
  <si>
    <t>Sasia e Humbjeve Fizike</t>
  </si>
  <si>
    <t>Treguesit e Performancës për Humbjet Fizike</t>
  </si>
  <si>
    <t xml:space="preserve">Treguesit e Performancës për Humbjet Komerciale </t>
  </si>
  <si>
    <t>Treguesit e Performancës Financiare</t>
  </si>
  <si>
    <t>Grupi i Performancës</t>
  </si>
  <si>
    <t>Standardi</t>
  </si>
  <si>
    <t>Vendet me të Ardhura të Vogla dhe të Mesme</t>
  </si>
  <si>
    <t>Koha Mesatare e Furnizimit [orë/ditë]</t>
  </si>
  <si>
    <t>CAPL (eng.) - Sasia Aktuale Vjetore e Humbjeve Fizike [m3/ditë]</t>
  </si>
  <si>
    <t>MAPL (eng.) - Sasia Minimale e Arritshme e Humbjeve Fizike [m3/ditë]</t>
  </si>
  <si>
    <t xml:space="preserve">Litra për lidhje në ditë (eng.: w.s.p.)
kw.s.p.: kur sistemi është I mbajtur në presion - kjo nënkupton se vlera tashmë është korigjuar në rast të furnizimit me ndërprerje </t>
  </si>
  <si>
    <t xml:space="preserve">Litra për Lidhje në Ditë për meter Presioni (eng.: w.s.p.) </t>
  </si>
  <si>
    <t>Indeksi i Rrjedhjeve Infrastrukturore (eng.: ILI)</t>
  </si>
  <si>
    <t>Humbjet Komerciale të shprehura në % të Konsumit të Autorizuar</t>
  </si>
  <si>
    <t>Sasia e Ujit të pa-faturuar shprehur në % të Vëllimit Hyrës në Sistem</t>
  </si>
  <si>
    <t>Vlera e Ujit të pa-faturuar e shprehur në % të Shpenzimeve Operative Vjetore</t>
  </si>
  <si>
    <t>Tubat Kryesor të Shpërndarjes dhe Transmisionit</t>
  </si>
  <si>
    <t>Lidhjet e Shërbimit</t>
  </si>
  <si>
    <t>Numër</t>
  </si>
  <si>
    <t>Gjatësia e Tubit [km] </t>
  </si>
  <si>
    <t>Numri i Lidhjeve të Konsumatorëve të Regjistruar
Shënim: ky numër ka gjasa (me pak diferencë) që të jetë më i ulët se numri i konsumatorëve</t>
  </si>
  <si>
    <t xml:space="preserve">Numri i Vlerësuar i Lidhjeve të Pa-autorizuara </t>
  </si>
  <si>
    <t>Numri i Lidhjeve</t>
  </si>
  <si>
    <t>Gjatësia Mesatare e Lidhjeve të Shërbimit nga Kufiri i Pronës deri te Ujëmatësi i Konsumatorit [meter]</t>
  </si>
  <si>
    <t xml:space="preserve">Gjatësia Totale e Lidhjeve të shërbimeve nga Kufiri i Pronës deri te Ujëmatësi i Konsumatorit [kilometer] </t>
  </si>
  <si>
    <t>Presioni Mesatar</t>
  </si>
  <si>
    <t>Furnizimi me Ndërprerje</t>
  </si>
  <si>
    <t xml:space="preserve">Numri i Përafërt i Lidhjeve </t>
  </si>
  <si>
    <t>Presioni Mesatar Ditor [m]</t>
  </si>
  <si>
    <t>Koha e Furnizimit [ditë në javë]</t>
  </si>
  <si>
    <t>Koha e Furnizimit [orë në ditë]</t>
  </si>
  <si>
    <t>Koha Mesatare e Furnizimit Ditor [orë]</t>
  </si>
  <si>
    <t>Burimi i Ujit</t>
  </si>
  <si>
    <t>Vëllimi Hyrës në Sistem [m3]</t>
  </si>
  <si>
    <t>Informacionet Financiare</t>
  </si>
  <si>
    <t>Tarifa Mesatare</t>
  </si>
  <si>
    <t>Shpenzimet Variabile të Prodhimit dhe Shpërndarjes (Kostoja Margjinale e Ujit)</t>
  </si>
  <si>
    <t>Komponentët e Ujit të pa-faturuar të vlerësohen sipas (i) Tarifës Mesatare - nëse uji mund të shitet ose sipas (ii) Shpenzimeve të Prodhimit dhe Shpërndarjes nëse zvogëlimi i komponentit të UPF do të rezultonte vetëm në uljen e Vëllimit Hyrës në Sistem. Për Tarifën Mesatare shëno 1, ndërsa për Shpenzimet e Prodhimit dhe të Shpërndarjes shëno 2.</t>
  </si>
  <si>
    <t>Vlera Vjetore</t>
  </si>
  <si>
    <t>Vlera Totale e UPF</t>
  </si>
  <si>
    <t>Shpenzimet Operative Vjetore (pa Zhvlerësim)</t>
  </si>
  <si>
    <t>Furnizimi me Shumicë i Ujit (Export)</t>
  </si>
  <si>
    <t>Numër i Vlerësuar </t>
  </si>
  <si>
    <t>Persona për Shtëpi </t>
  </si>
  <si>
    <t>Konsumi [litra/person/ditë]</t>
  </si>
  <si>
    <t>Totali [m3]</t>
  </si>
  <si>
    <t>Konsumi [litra/lidhje/ditë]</t>
  </si>
  <si>
    <t>Konsumi [litra/konsumatorë/ditë]</t>
  </si>
  <si>
    <t>Konsumi i Pa-autorizuar [m3]</t>
  </si>
  <si>
    <t>Regjistrimi më i ulët i ujëmatësit </t>
  </si>
  <si>
    <t>Konsumi i Matur i Faturuar (pa Furnizimin me Shumicë) </t>
  </si>
  <si>
    <t>Furnizimi i Matur me Shumicë (Export) </t>
  </si>
  <si>
    <t>Konsumi i Matur i Pa-faturuar (pa Furnizimin me Shumicë) </t>
  </si>
  <si>
    <t>Praktikat e Korruptuara të Leximit të Ujëmatësve </t>
  </si>
  <si>
    <t>Gabimet në Regjistrimin e të Dhënave (zyre) </t>
  </si>
  <si>
    <t>m3/km të gypave kryesor për orë (w.s.p.)</t>
  </si>
  <si>
    <t>Konsumi i Pa-matur i Pa-faturuar [m3]</t>
  </si>
  <si>
    <t>Lidhjet e Pa-autorizuara - shtëpiake </t>
  </si>
  <si>
    <t>Lidhjet e Pa-autorizuara - të tjera</t>
  </si>
  <si>
    <t>Manipulimet e Ujëmatësve, bajpaset, etj. te konsumatorët e regjistruar</t>
  </si>
  <si>
    <t>Futja e të Dhënave </t>
  </si>
  <si>
    <t>Grupi i të Dhënave Ndërkombëtare të Zgjedhura Rastësisht</t>
  </si>
  <si>
    <t>Emri i Ndërmarrjes: </t>
  </si>
  <si>
    <t>Humbjet e Ujit - Sasia dhe Vlera (Shpenzimi) </t>
  </si>
  <si>
    <t>Krahasimi Ndërkombëtar </t>
  </si>
  <si>
    <t xml:space="preserve">Matrica e Vlerësimit të Humbjeve Fizike </t>
  </si>
  <si>
    <t>Litra/lidhje/ditë </t>
  </si>
  <si>
    <t>(kur sistemi mbahet me presion) me një mesatare të presionit prej: </t>
  </si>
  <si>
    <t>Kthim te Treguesit </t>
  </si>
  <si>
    <t>Zvogëlimi i mëtejshëm i humbjeve mund të mos jetë ekonomik përveç nëse ka mungesë të ujit; janë të domosdoshme analiza të kujdesshme për të identifikuar përmirësimin sa më ekonomik-kosto efektiv </t>
  </si>
  <si>
    <t>Potencial për përmirësime të konsiderueshme; merrni parasysh menaxhimin e presionit; praktika më të mira të kontrollit të rrjedhjeve aktive, dhe mirëmbajtje më e mirë e rrjetit</t>
  </si>
  <si>
    <t>Fakte të pamjaftueshme të UPF; e tolerueshme vetëm nëse uji është i bollshëm dhe i lirë; mirëpo edhe atëherë, analizoni nivelin dhe shkaktarët e UPF dhe shtoni përpjekjet për zvogëlimin e UPF</t>
  </si>
  <si>
    <t xml:space="preserve">Shfrytëzim shumë i keq dhe jo-efiçient i burimeve; programet për reduktimin e rrjedhjeve janë të domosdoshme dhe me prioritet të lartë </t>
  </si>
  <si>
    <t xml:space="preserve">1.) WB-EasyCalc është zhvilluar në vitin 2006 për të ndihmuar kompanitë e ujit dhe konsulentët për të aplikuar si duhet Metodologjinë e Grupit të Specialistëve të UPF të IWA. Gjatë 10 vjetëve të fundit kjo është bërë vegla më e preferuar për analizimin e UPF për kompanitë e ujit në tërë botën. Për të festuar 10 vjetorin, është publikuar versioni 5 në Gusht 2016. </t>
  </si>
  <si>
    <t>2.) Gjuha e para-caktuar është ajo Angleze me përdorim të terminologjisë së IWA. Nëse dëshironi që të përdorni terminologjinë e preferuar nga Banka Botërore: "Humbjet Fizike" dhe "Humbjet Komerciale" kunddrejt terminologjisë së IWA: "Humbjet Reale: dhe "Humbjet e Jashtme" kliko në butonin "Ndrysho gjuhën" dhe përzgjedh kodin 2.</t>
  </si>
  <si>
    <t>3.) Në terminologjinë e Bankës Botërore, termi i IWA “UARL (eng.) - Sasia e Pashmangshme Vjetore e Humbjeve Reale” dhe "CARL (eng.) - Sasia Aktuale Vjetore e Humbjeve Reale" janë zëvendësuar me termat e përlqyer nga Banka Botërore “MAPL (eng.) - Minimumi i Arritshëm i Sasisë Vjetore të Humbjeve Fizike” dhe “CAPL (eng.) - Sasia Aktuale Vjetore e Humbjeve Fizike”. Megjithatë, formula bazë ka ngelur e pandryshuar.</t>
  </si>
  <si>
    <t>4.) WB-EasyCalc është optimizuar për rezulucion të monitorit prej 1024 x 768 piksela</t>
  </si>
  <si>
    <t>5.) Kodet e ngjyrave:</t>
  </si>
  <si>
    <t>celulat me ngjyrë të bardhë janë për futje të të dhënave</t>
  </si>
  <si>
    <t>celulat me ngjyrë kaltër të errët llogariten vetë</t>
  </si>
  <si>
    <t xml:space="preserve">6.) Edhe pse është bërë çdo përpjekje nga zhvilluesit për të siguruar që WB-EasyCalc të jetë pa asnjë gabim, ata të cilët e përdorin modelin (programin) duhet të llogarisin që rreziku i gabimeve të mundshme bie në ata. Liemberger &amp; Partners nuk marrin përsipër asnjë detyrim të çfarëdo natyre për humbjet (direkte ose indirekte) të shkaktuara nga përdorimi i këtij modeli. </t>
  </si>
  <si>
    <t> 8.) GIGO (eng.) "Futja e të dhënave të gabuara sjell rezultate të gabuara!". Përdoruesi duhet të ketë parasysh se rezultatet e llogaritura me këtë program mund të jenë plotësisht të gabuara nëse të dhënat bazë janë të gabuara ose jo të plota.</t>
  </si>
  <si>
    <t xml:space="preserve">9.) ÇDO herë rekomandohet që të ndërmerren analiza të thukta të rrjedhjeve duke u bazuar në matje të bëra në rrjetin shpërndarës për të mbështetur dhe verifikuar të dhënat e humbjeve fizike të përllogaritura me këtë program. </t>
  </si>
  <si>
    <t>12.) WB-EasyCalc vazhdimisht do të përmirësohet dhe ngritet në cilësi – vizitoni kohë pas kohe www.liemberger.cc për të parë nëse ka versione të reja të programit.</t>
  </si>
  <si>
    <t xml:space="preserve">Shëno 1 për të përdorur % e përgjithshme të nën-regjistrimit të ujëmatësve ose 2 për futje manuale të sasive dhe nën-regjistrimeve të ujëmatësve apo kategorive të konsumatorëve të ndryshëm </t>
  </si>
  <si>
    <t>Numri i konsumatorëve pasiv të lidhjeve ekzistuese në shërbime</t>
  </si>
  <si>
    <t>Volumet e përdorura për këtë balancë të ujit janë për periudhën:</t>
  </si>
  <si>
    <t>ditë</t>
  </si>
  <si>
    <t>Balanci i Ujit në m3/vit</t>
  </si>
  <si>
    <t>Balanci i Ujit në m3/ditë</t>
  </si>
  <si>
    <t>litra/lidhje/ditë </t>
  </si>
  <si>
    <t>Balanci i Ujit në m3 për periudhën prej</t>
  </si>
  <si>
    <t>Balanci i Ujit për Periudhën</t>
  </si>
  <si>
    <t xml:space="preserve">Koha Mesatare e Furnizimit </t>
  </si>
  <si>
    <t xml:space="preserve">Mbulueshmëria </t>
  </si>
  <si>
    <r>
      <t>VEGLA "</t>
    </r>
    <r>
      <rPr>
        <sz val="10"/>
        <rFont val="Calibri"/>
        <family val="2"/>
      </rPr>
      <t>Ç</t>
    </r>
    <r>
      <rPr>
        <sz val="8"/>
        <rFont val="Arial"/>
        <family val="2"/>
      </rPr>
      <t>FARË NËSE</t>
    </r>
    <r>
      <rPr>
        <sz val="10"/>
        <rFont val="Arial"/>
        <family val="2"/>
      </rPr>
      <t xml:space="preserve">" </t>
    </r>
  </si>
  <si>
    <t>NËSE</t>
  </si>
  <si>
    <t>ATËHERË</t>
  </si>
  <si>
    <t>h/ditë</t>
  </si>
  <si>
    <t>l/lidhje/d</t>
  </si>
  <si>
    <t>prej</t>
  </si>
  <si>
    <t>deri</t>
  </si>
  <si>
    <t>ndryshon</t>
  </si>
  <si>
    <t>ngritet</t>
  </si>
  <si>
    <t>l/lidhje/d (eng.: w.s.p.)</t>
  </si>
  <si>
    <t xml:space="preserve">do të ngritet përafërsisht </t>
  </si>
  <si>
    <t>do të ndryshojë përafërsisht</t>
  </si>
  <si>
    <t>Gjatësia e tubave kryesor</t>
  </si>
  <si>
    <t>Të Ardhurat Vjetore (nga faturimi)</t>
  </si>
  <si>
    <t xml:space="preserve">Shpenzimet operative vjetore </t>
  </si>
  <si>
    <t>Sasia e UPF</t>
  </si>
  <si>
    <t>Vlera e UPF</t>
  </si>
  <si>
    <t xml:space="preserve">% e Sasisë Hyrëse në Sistem </t>
  </si>
  <si>
    <t>% e Shpenzimeve Operative Vjetore Totale</t>
  </si>
  <si>
    <t>ILI (eng.)</t>
  </si>
  <si>
    <t>Numri i Konsumatorëve (aktivë)</t>
  </si>
  <si>
    <t>litër/konsumatorë/ditë</t>
  </si>
  <si>
    <t>Treguesit e Performancës për UPF</t>
  </si>
  <si>
    <t xml:space="preserve">Performanca e menaxhimit të rrjedhjeve në nivel klase botërore (dmth. shembull i mirë); vetëm zvogëlime të mëtejshme margjinale janë teoritikisht të mundshme </t>
  </si>
  <si>
    <t xml:space="preserve">Performanca e menaxhimit të rrjedhjeve në nivel klase botërore (dmth. shembull i mirë); mundësia për zvogëlimin e mëtejshëm të UPF është i vogël përveç nëse ka ende mundësi për zvogëlim të presionit apo përmirësime të saktësisë së ujëmatësve të konsumatorëve të mëdhenj  </t>
  </si>
  <si>
    <t xml:space="preserve">Zvogëlimi i mëtejshëm i UPF ndoshta është jo-ekonomik përveç nëse ka mungesë (reduktime) të ujit apo nëse tarifat e ujit janë të larta; kërkohet një auditim detal i ujit për të identifikuar përmirësimet ekonomikisht të pranueshme </t>
  </si>
  <si>
    <t xml:space="preserve">Mundësi për përmirësime të dukshme; krijoni një balancë të ujit për të përcaktuar sasinë e komponentave të UPF; konsideroni menaxhimin e presionit, praktika më të mira të kontrollit të rrjedhjeve aktive, dhe mirëmbajtje më të mirë të rrjetit; përmirësim të menaxhimit të ujëmatësave të konsumatorëve, rishikim të leximit të ujëmatësve, menaxhim të të dhënave dhe procesim të faturimit dhe identifikoni mundësitë për përmirësim </t>
  </si>
  <si>
    <t xml:space="preserve">Paefiçiencë e lartë; një program gjithpërfshirës i zvogëlimit të UPF është i domosdoshëm dhe me prioritet të lartë </t>
  </si>
  <si>
    <t xml:space="preserve">Matrica e Vlerësimit Ndërkombëtarë të UPF </t>
  </si>
  <si>
    <t>Sasia Totale (m3/d)</t>
  </si>
  <si>
    <t>Sasia e cila mund të i shitet konsumatorëve ekzistues apo të rinj (m3/d)</t>
  </si>
  <si>
    <t>Ruaj të dhënat deri në 10 vite dhe kopjo/ngjit (copy/paste) lehtë në fletat e Excel!</t>
  </si>
  <si>
    <t>Kliko butonin për të kopjuar "Aktual" në këtë kolonë</t>
  </si>
  <si>
    <t>Aktual</t>
  </si>
  <si>
    <t>Të dhënat historike</t>
  </si>
  <si>
    <t>Sasia shtesë që i'u është faturuar konsumatorëve ekzistues</t>
  </si>
  <si>
    <t>m3/d shtesë</t>
  </si>
  <si>
    <t>Shpenzimet e Prodhimit dhe Shpërndarjes</t>
  </si>
  <si>
    <r>
      <t xml:space="preserve">The free water balance software
</t>
    </r>
    <r>
      <rPr>
        <sz val="16"/>
        <color theme="0"/>
        <rFont val="Calibri"/>
        <family val="2"/>
        <scheme val="minor"/>
      </rPr>
      <t>Version 5.16 (10 August 2018)</t>
    </r>
  </si>
  <si>
    <r>
      <t xml:space="preserve">Also for version 5 </t>
    </r>
    <r>
      <rPr>
        <b/>
        <sz val="11"/>
        <rFont val="Calibri"/>
        <family val="2"/>
        <scheme val="minor"/>
      </rPr>
      <t>Pak Budi Sutjahjo</t>
    </r>
    <r>
      <rPr>
        <sz val="11"/>
        <rFont val="Calibri"/>
        <family val="2"/>
        <scheme val="minor"/>
      </rPr>
      <t xml:space="preserve"> did the translation into Bahasa Indonesia! Thank you so much my friend!</t>
    </r>
  </si>
  <si>
    <r>
      <t xml:space="preserve">A finance specialist from Albania, </t>
    </r>
    <r>
      <rPr>
        <b/>
        <sz val="11"/>
        <rFont val="Calibri"/>
        <family val="2"/>
        <scheme val="minor"/>
      </rPr>
      <t>Ms Vera Muhaxhiri</t>
    </r>
    <r>
      <rPr>
        <sz val="11"/>
        <rFont val="Calibri"/>
        <family val="2"/>
        <scheme val="minor"/>
      </rPr>
      <t>, was so kind to significantly improve and complete the Albanian language version! Than you so much Vera!</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</si>
</sst>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00_-;\-* #,##0.00_-;_-* &quot;-&quot;??_-;_-@_-"/>
    <numFmt numFmtId="165" formatCode="0.0"/>
    <numFmt numFmtId="166" formatCode="0.0%"/>
    <numFmt numFmtId="167" formatCode="_-* #,##0.0_-;\-* #,##0.0_-;_-* &quot;-&quot;??_-;_-@_-"/>
    <numFmt numFmtId="168" formatCode="_-* #,##0_-;\-* #,##0_-;_-* &quot;-&quot;??_-;_-@_-"/>
    <numFmt numFmtId="169" formatCode="0.000%"/>
    <numFmt numFmtId="170" formatCode="#,##0.0"/>
  </numFmts>
  <fonts count="7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
      <sz val="10"/>
      <name val="Calibri"/>
      <family val="2"/>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499984740745262"/>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dashed">
        <color indexed="64"/>
      </left>
      <right style="dashed">
        <color indexed="64"/>
      </right>
      <top style="dashed">
        <color indexed="64"/>
      </top>
      <bottom style="dashed">
        <color indexed="64"/>
      </bottom>
      <diagonal/>
    </border>
  </borders>
  <cellStyleXfs count="6">
    <xf numFmtId="0" fontId="0" fillId="0" borderId="0"/>
    <xf numFmtId="164" fontId="6" fillId="0" borderId="0" applyFont="0" applyFill="0" applyBorder="0" applyAlignment="0" applyProtection="0"/>
    <xf numFmtId="0" fontId="11"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cellStyleXfs>
  <cellXfs count="834">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9" fillId="2" borderId="0" xfId="0" applyFont="1" applyFill="1" applyAlignment="1" applyProtection="1">
      <alignment horizontal="center" wrapText="1"/>
      <protection hidden="1"/>
    </xf>
    <xf numFmtId="0" fontId="9" fillId="2" borderId="0" xfId="0" applyFont="1" applyFill="1" applyBorder="1" applyAlignment="1" applyProtection="1">
      <alignment wrapText="1"/>
      <protection hidden="1"/>
    </xf>
    <xf numFmtId="0" fontId="0" fillId="4" borderId="12" xfId="0" applyFill="1" applyBorder="1" applyAlignment="1" applyProtection="1">
      <alignment wrapText="1"/>
      <protection hidden="1"/>
    </xf>
    <xf numFmtId="0" fontId="0" fillId="2" borderId="0" xfId="0" applyFill="1" applyAlignment="1" applyProtection="1">
      <alignment vertical="center" wrapText="1"/>
      <protection hidden="1"/>
    </xf>
    <xf numFmtId="0" fontId="8" fillId="7" borderId="1" xfId="0" applyFont="1" applyFill="1" applyBorder="1" applyAlignment="1" applyProtection="1">
      <alignment horizontal="center" wrapText="1"/>
      <protection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8" fillId="11" borderId="0" xfId="0" applyFont="1" applyFill="1" applyProtection="1">
      <protection hidden="1"/>
    </xf>
    <xf numFmtId="0" fontId="29" fillId="11" borderId="0" xfId="0" applyFont="1" applyFill="1" applyProtection="1">
      <protection hidden="1"/>
    </xf>
    <xf numFmtId="0" fontId="30" fillId="11" borderId="0" xfId="0" applyFont="1" applyFill="1" applyProtection="1">
      <protection hidden="1"/>
    </xf>
    <xf numFmtId="0" fontId="31" fillId="11" borderId="0" xfId="0" applyFont="1" applyFill="1" applyProtection="1">
      <protection hidden="1"/>
    </xf>
    <xf numFmtId="0" fontId="32" fillId="11" borderId="0" xfId="0" applyFont="1" applyFill="1" applyProtection="1">
      <protection hidden="1"/>
    </xf>
    <xf numFmtId="0" fontId="34" fillId="11" borderId="0" xfId="0" applyFont="1" applyFill="1" applyProtection="1">
      <protection hidden="1"/>
    </xf>
    <xf numFmtId="0" fontId="35" fillId="11" borderId="0" xfId="0" applyFont="1" applyFill="1" applyProtection="1">
      <protection hidden="1"/>
    </xf>
    <xf numFmtId="0" fontId="36" fillId="11" borderId="0" xfId="0" applyFont="1" applyFill="1" applyAlignment="1" applyProtection="1">
      <protection hidden="1"/>
    </xf>
    <xf numFmtId="0" fontId="28" fillId="11" borderId="0" xfId="0" applyFont="1" applyFill="1" applyAlignment="1" applyProtection="1">
      <alignment horizontal="left"/>
      <protection hidden="1"/>
    </xf>
    <xf numFmtId="0" fontId="43" fillId="11" borderId="0" xfId="0" applyFont="1" applyFill="1" applyProtection="1">
      <protection hidden="1"/>
    </xf>
    <xf numFmtId="0" fontId="42" fillId="11" borderId="0" xfId="0" applyFont="1" applyFill="1" applyAlignment="1" applyProtection="1">
      <protection hidden="1"/>
    </xf>
    <xf numFmtId="0" fontId="44" fillId="11" borderId="0" xfId="2" applyFont="1" applyFill="1" applyBorder="1" applyAlignment="1" applyProtection="1">
      <alignment horizontal="left" vertical="center" wrapText="1"/>
      <protection hidden="1"/>
    </xf>
    <xf numFmtId="0" fontId="42" fillId="11" borderId="0" xfId="0" applyFont="1" applyFill="1" applyBorder="1" applyAlignment="1" applyProtection="1">
      <alignment horizontal="center" vertical="center" wrapText="1"/>
      <protection hidden="1"/>
    </xf>
    <xf numFmtId="0" fontId="28" fillId="15" borderId="0" xfId="0" applyFont="1" applyFill="1" applyBorder="1" applyProtection="1">
      <protection hidden="1"/>
    </xf>
    <xf numFmtId="0" fontId="28" fillId="11" borderId="0" xfId="0" applyFont="1" applyFill="1" applyBorder="1" applyProtection="1">
      <protection hidden="1"/>
    </xf>
    <xf numFmtId="0" fontId="43" fillId="11" borderId="0" xfId="0" applyFont="1" applyFill="1" applyBorder="1" applyProtection="1">
      <protection hidden="1"/>
    </xf>
    <xf numFmtId="0" fontId="39" fillId="11" borderId="0" xfId="0" applyFont="1" applyFill="1" applyBorder="1" applyAlignment="1" applyProtection="1">
      <alignment horizontal="center" vertical="center" textRotation="90"/>
      <protection hidden="1"/>
    </xf>
    <xf numFmtId="0" fontId="42" fillId="11" borderId="0" xfId="0" applyFont="1" applyFill="1" applyProtection="1">
      <protection hidden="1"/>
    </xf>
    <xf numFmtId="0" fontId="28" fillId="11" borderId="0" xfId="0" applyFont="1" applyFill="1" applyAlignment="1" applyProtection="1">
      <alignment vertical="center"/>
      <protection hidden="1"/>
    </xf>
    <xf numFmtId="0" fontId="43" fillId="11" borderId="0" xfId="0" applyFont="1" applyFill="1" applyAlignment="1" applyProtection="1">
      <alignment vertical="center"/>
      <protection hidden="1"/>
    </xf>
    <xf numFmtId="0" fontId="41" fillId="11" borderId="0" xfId="0" applyFont="1" applyFill="1" applyAlignment="1" applyProtection="1">
      <alignment vertical="center"/>
      <protection hidden="1"/>
    </xf>
    <xf numFmtId="0" fontId="41" fillId="11" borderId="0" xfId="0" applyFont="1" applyFill="1" applyBorder="1" applyAlignment="1" applyProtection="1">
      <alignment vertical="center"/>
      <protection hidden="1"/>
    </xf>
    <xf numFmtId="0" fontId="26" fillId="16" borderId="81" xfId="0" applyFont="1" applyFill="1" applyBorder="1" applyAlignment="1" applyProtection="1">
      <alignment horizontal="center" vertical="center" wrapText="1"/>
      <protection hidden="1"/>
    </xf>
    <xf numFmtId="0" fontId="47" fillId="11" borderId="0" xfId="0" applyFont="1" applyFill="1" applyProtection="1">
      <protection hidden="1"/>
    </xf>
    <xf numFmtId="0" fontId="26" fillId="16" borderId="81" xfId="0" applyFont="1" applyFill="1" applyBorder="1" applyAlignment="1" applyProtection="1">
      <alignment horizontal="left" vertical="center" wrapText="1"/>
      <protection hidden="1"/>
    </xf>
    <xf numFmtId="0" fontId="43" fillId="0" borderId="3" xfId="0" applyFont="1" applyFill="1" applyBorder="1" applyProtection="1">
      <protection locked="0" hidden="1"/>
    </xf>
    <xf numFmtId="168" fontId="43" fillId="0" borderId="3" xfId="1" applyNumberFormat="1" applyFont="1" applyFill="1" applyBorder="1" applyProtection="1">
      <protection locked="0" hidden="1"/>
    </xf>
    <xf numFmtId="0" fontId="43" fillId="0" borderId="4" xfId="0" applyFont="1" applyFill="1" applyBorder="1" applyProtection="1">
      <protection locked="0" hidden="1"/>
    </xf>
    <xf numFmtId="168" fontId="43" fillId="0" borderId="4" xfId="1" applyNumberFormat="1" applyFont="1" applyFill="1" applyBorder="1" applyProtection="1">
      <protection locked="0" hidden="1"/>
    </xf>
    <xf numFmtId="168" fontId="43" fillId="11" borderId="0" xfId="1" applyNumberFormat="1" applyFont="1" applyFill="1" applyProtection="1">
      <protection hidden="1"/>
    </xf>
    <xf numFmtId="168" fontId="26" fillId="16" borderId="81" xfId="1" applyNumberFormat="1" applyFont="1" applyFill="1" applyBorder="1" applyProtection="1">
      <protection hidden="1"/>
    </xf>
    <xf numFmtId="0" fontId="48" fillId="11" borderId="0" xfId="0" applyFont="1" applyFill="1" applyProtection="1">
      <protection hidden="1"/>
    </xf>
    <xf numFmtId="166" fontId="43" fillId="0" borderId="3" xfId="3" applyNumberFormat="1" applyFont="1" applyFill="1" applyBorder="1" applyProtection="1">
      <protection locked="0" hidden="1"/>
    </xf>
    <xf numFmtId="166" fontId="43" fillId="0" borderId="4" xfId="3" applyNumberFormat="1" applyFont="1" applyFill="1" applyBorder="1" applyProtection="1">
      <protection locked="0" hidden="1"/>
    </xf>
    <xf numFmtId="166" fontId="26" fillId="16" borderId="81" xfId="3" applyNumberFormat="1" applyFont="1" applyFill="1" applyBorder="1" applyProtection="1">
      <protection hidden="1"/>
    </xf>
    <xf numFmtId="0" fontId="48" fillId="11" borderId="0" xfId="0" applyFont="1" applyFill="1" applyAlignment="1" applyProtection="1">
      <alignment vertical="center"/>
      <protection hidden="1"/>
    </xf>
    <xf numFmtId="0" fontId="42" fillId="11" borderId="0" xfId="0" applyFont="1" applyFill="1" applyAlignment="1" applyProtection="1">
      <alignment vertical="center"/>
      <protection hidden="1"/>
    </xf>
    <xf numFmtId="0" fontId="47" fillId="11" borderId="0" xfId="0" applyFont="1" applyFill="1" applyAlignment="1" applyProtection="1">
      <alignment vertical="center"/>
      <protection hidden="1"/>
    </xf>
    <xf numFmtId="168" fontId="43" fillId="0" borderId="1" xfId="1" applyNumberFormat="1" applyFont="1" applyFill="1" applyBorder="1" applyAlignment="1" applyProtection="1">
      <alignment vertical="center"/>
      <protection locked="0" hidden="1"/>
    </xf>
    <xf numFmtId="0" fontId="43" fillId="0" borderId="2" xfId="0" applyFont="1" applyFill="1" applyBorder="1" applyAlignment="1" applyProtection="1">
      <alignment vertical="center"/>
      <protection locked="0" hidden="1"/>
    </xf>
    <xf numFmtId="168" fontId="43" fillId="0" borderId="2" xfId="1" applyNumberFormat="1" applyFont="1" applyFill="1" applyBorder="1" applyAlignment="1" applyProtection="1">
      <alignment vertical="center"/>
      <protection locked="0" hidden="1"/>
    </xf>
    <xf numFmtId="166" fontId="43" fillId="0" borderId="2" xfId="3" applyNumberFormat="1" applyFont="1" applyFill="1" applyBorder="1" applyAlignment="1" applyProtection="1">
      <alignment vertical="center"/>
      <protection locked="0" hidden="1"/>
    </xf>
    <xf numFmtId="0" fontId="43" fillId="0" borderId="3" xfId="0" applyFont="1" applyFill="1" applyBorder="1" applyAlignment="1" applyProtection="1">
      <alignment vertical="center"/>
      <protection locked="0" hidden="1"/>
    </xf>
    <xf numFmtId="168" fontId="43" fillId="0" borderId="3" xfId="1" applyNumberFormat="1" applyFont="1" applyFill="1" applyBorder="1" applyAlignment="1" applyProtection="1">
      <alignment vertical="center"/>
      <protection locked="0" hidden="1"/>
    </xf>
    <xf numFmtId="166" fontId="43" fillId="0" borderId="3" xfId="3" applyNumberFormat="1" applyFont="1" applyFill="1" applyBorder="1" applyAlignment="1" applyProtection="1">
      <alignment vertical="center"/>
      <protection locked="0" hidden="1"/>
    </xf>
    <xf numFmtId="0" fontId="43" fillId="0" borderId="4" xfId="0" applyFont="1" applyFill="1" applyBorder="1" applyAlignment="1" applyProtection="1">
      <alignment vertical="center"/>
      <protection locked="0" hidden="1"/>
    </xf>
    <xf numFmtId="168" fontId="43" fillId="0" borderId="4" xfId="1" applyNumberFormat="1" applyFont="1" applyFill="1" applyBorder="1" applyAlignment="1" applyProtection="1">
      <alignment vertical="center"/>
      <protection locked="0" hidden="1"/>
    </xf>
    <xf numFmtId="166" fontId="43" fillId="0" borderId="4" xfId="3" applyNumberFormat="1" applyFont="1" applyFill="1" applyBorder="1" applyAlignment="1" applyProtection="1">
      <alignment vertical="center"/>
      <protection locked="0" hidden="1"/>
    </xf>
    <xf numFmtId="166" fontId="26" fillId="16" borderId="81" xfId="3" applyNumberFormat="1" applyFont="1" applyFill="1" applyBorder="1" applyAlignment="1" applyProtection="1">
      <alignment vertical="center"/>
      <protection hidden="1"/>
    </xf>
    <xf numFmtId="0" fontId="42" fillId="11" borderId="0" xfId="0" applyFont="1" applyFill="1" applyAlignment="1" applyProtection="1">
      <alignment vertical="center" wrapText="1"/>
      <protection hidden="1"/>
    </xf>
    <xf numFmtId="168" fontId="28" fillId="15" borderId="1" xfId="1" applyNumberFormat="1" applyFont="1" applyFill="1" applyBorder="1" applyAlignment="1" applyProtection="1">
      <alignment vertical="center"/>
      <protection hidden="1"/>
    </xf>
    <xf numFmtId="168" fontId="43" fillId="11" borderId="0" xfId="1" applyNumberFormat="1" applyFont="1" applyFill="1" applyAlignment="1" applyProtection="1">
      <alignment vertical="center"/>
      <protection hidden="1"/>
    </xf>
    <xf numFmtId="0" fontId="42" fillId="11" borderId="0" xfId="0" applyFont="1" applyFill="1" applyAlignment="1" applyProtection="1">
      <alignment horizontal="right" vertical="center"/>
      <protection hidden="1"/>
    </xf>
    <xf numFmtId="168" fontId="26" fillId="16" borderId="81" xfId="1" applyNumberFormat="1" applyFont="1" applyFill="1" applyBorder="1" applyAlignment="1" applyProtection="1">
      <alignment vertical="center"/>
      <protection hidden="1"/>
    </xf>
    <xf numFmtId="0" fontId="43" fillId="11" borderId="0" xfId="0" applyFont="1" applyFill="1" applyAlignment="1" applyProtection="1">
      <alignment horizontal="center"/>
      <protection hidden="1"/>
    </xf>
    <xf numFmtId="0" fontId="28" fillId="11" borderId="0" xfId="0" applyFont="1" applyFill="1" applyBorder="1" applyAlignment="1" applyProtection="1">
      <alignment vertical="center"/>
      <protection hidden="1"/>
    </xf>
    <xf numFmtId="0" fontId="32" fillId="11" borderId="0" xfId="0" applyFont="1" applyFill="1" applyAlignment="1" applyProtection="1">
      <alignment vertical="center"/>
      <protection hidden="1"/>
    </xf>
    <xf numFmtId="0" fontId="27" fillId="16" borderId="81" xfId="0" applyFont="1" applyFill="1" applyBorder="1" applyAlignment="1" applyProtection="1">
      <alignment horizontal="left" vertical="center" wrapText="1"/>
      <protection hidden="1"/>
    </xf>
    <xf numFmtId="0" fontId="43" fillId="0" borderId="3" xfId="0" applyFont="1" applyFill="1" applyBorder="1" applyAlignment="1" applyProtection="1">
      <alignment horizontal="left"/>
      <protection locked="0" hidden="1"/>
    </xf>
    <xf numFmtId="168" fontId="43" fillId="15" borderId="1" xfId="1" applyNumberFormat="1" applyFont="1" applyFill="1" applyBorder="1" applyProtection="1">
      <protection hidden="1"/>
    </xf>
    <xf numFmtId="0" fontId="43" fillId="11" borderId="0" xfId="0" applyFont="1" applyFill="1" applyBorder="1" applyAlignment="1" applyProtection="1">
      <alignment horizontal="center" vertical="center" wrapText="1"/>
      <protection hidden="1"/>
    </xf>
    <xf numFmtId="0" fontId="43" fillId="11" borderId="0" xfId="0" applyFont="1" applyFill="1" applyBorder="1" applyAlignment="1" applyProtection="1">
      <alignment vertical="center"/>
      <protection hidden="1"/>
    </xf>
    <xf numFmtId="3" fontId="43" fillId="11" borderId="0" xfId="0" applyNumberFormat="1" applyFont="1" applyFill="1" applyBorder="1" applyAlignment="1" applyProtection="1">
      <alignment vertical="center"/>
      <protection hidden="1"/>
    </xf>
    <xf numFmtId="9" fontId="43" fillId="11" borderId="0" xfId="3" applyFont="1" applyFill="1" applyBorder="1" applyAlignment="1" applyProtection="1">
      <alignment vertical="center"/>
      <protection hidden="1"/>
    </xf>
    <xf numFmtId="9" fontId="43" fillId="0" borderId="1" xfId="3" applyFont="1" applyFill="1" applyBorder="1" applyProtection="1">
      <protection locked="0" hidden="1"/>
    </xf>
    <xf numFmtId="9" fontId="43" fillId="0" borderId="1" xfId="3" applyFont="1" applyFill="1" applyBorder="1" applyAlignment="1" applyProtection="1">
      <alignment vertical="center"/>
      <protection locked="0" hidden="1"/>
    </xf>
    <xf numFmtId="9" fontId="43" fillId="0" borderId="2" xfId="3" applyFont="1" applyFill="1" applyBorder="1" applyAlignment="1" applyProtection="1">
      <alignment vertical="center"/>
      <protection locked="0" hidden="1"/>
    </xf>
    <xf numFmtId="9" fontId="43" fillId="0" borderId="3" xfId="3" applyFont="1" applyFill="1" applyBorder="1" applyAlignment="1" applyProtection="1">
      <alignment vertical="center"/>
      <protection locked="0" hidden="1"/>
    </xf>
    <xf numFmtId="9" fontId="43" fillId="0" borderId="4" xfId="3" applyFont="1" applyFill="1" applyBorder="1" applyAlignment="1" applyProtection="1">
      <alignment vertical="center"/>
      <protection locked="0" hidden="1"/>
    </xf>
    <xf numFmtId="0" fontId="42" fillId="11" borderId="0" xfId="0" applyFont="1" applyFill="1" applyBorder="1" applyAlignment="1" applyProtection="1">
      <alignment horizontal="left" vertical="center" wrapText="1"/>
      <protection hidden="1"/>
    </xf>
    <xf numFmtId="1" fontId="42" fillId="11" borderId="0" xfId="1" applyNumberFormat="1" applyFont="1" applyFill="1" applyBorder="1" applyAlignment="1" applyProtection="1">
      <alignment horizontal="center" vertical="center"/>
      <protection hidden="1"/>
    </xf>
    <xf numFmtId="9" fontId="43" fillId="11" borderId="0" xfId="3"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9" fontId="43" fillId="11" borderId="0" xfId="3" applyFont="1" applyFill="1" applyBorder="1" applyAlignment="1" applyProtection="1">
      <alignment vertical="center"/>
      <protection locked="0" hidden="1"/>
    </xf>
    <xf numFmtId="0" fontId="47" fillId="11" borderId="0" xfId="0" applyFont="1" applyFill="1" applyAlignment="1" applyProtection="1">
      <alignment horizontal="right" vertical="center"/>
      <protection hidden="1"/>
    </xf>
    <xf numFmtId="0" fontId="43" fillId="11" borderId="0" xfId="0" applyFont="1" applyFill="1" applyAlignment="1" applyProtection="1">
      <alignment vertical="center" wrapText="1"/>
      <protection hidden="1"/>
    </xf>
    <xf numFmtId="165" fontId="43" fillId="11" borderId="0" xfId="0" applyNumberFormat="1" applyFont="1" applyFill="1" applyBorder="1" applyAlignment="1" applyProtection="1">
      <alignment vertical="center"/>
      <protection hidden="1"/>
    </xf>
    <xf numFmtId="3" fontId="43" fillId="11" borderId="0" xfId="0" applyNumberFormat="1" applyFont="1" applyFill="1" applyBorder="1" applyAlignment="1" applyProtection="1">
      <alignment horizontal="center" vertical="center"/>
      <protection hidden="1"/>
    </xf>
    <xf numFmtId="0" fontId="47" fillId="11" borderId="0" xfId="0" applyFont="1" applyFill="1" applyAlignment="1" applyProtection="1">
      <alignment horizontal="center" vertical="center"/>
      <protection hidden="1"/>
    </xf>
    <xf numFmtId="0" fontId="43" fillId="11" borderId="0" xfId="0" applyFont="1" applyFill="1" applyAlignment="1">
      <alignment vertical="center" wrapText="1"/>
    </xf>
    <xf numFmtId="165" fontId="43" fillId="0" borderId="1" xfId="0" applyNumberFormat="1" applyFont="1" applyFill="1" applyBorder="1" applyAlignment="1" applyProtection="1">
      <alignment vertical="center"/>
      <protection locked="0" hidden="1"/>
    </xf>
    <xf numFmtId="1" fontId="43" fillId="11" borderId="0" xfId="0" applyNumberFormat="1" applyFont="1" applyFill="1" applyBorder="1" applyAlignment="1" applyProtection="1">
      <alignment vertical="center"/>
      <protection hidden="1"/>
    </xf>
    <xf numFmtId="0" fontId="43" fillId="11" borderId="0" xfId="0" applyFont="1" applyFill="1" applyBorder="1" applyAlignment="1" applyProtection="1">
      <alignment vertical="center" wrapText="1"/>
      <protection hidden="1"/>
    </xf>
    <xf numFmtId="168" fontId="43" fillId="0" borderId="2" xfId="1" applyNumberFormat="1" applyFont="1" applyFill="1" applyBorder="1" applyAlignment="1" applyProtection="1">
      <alignment vertical="center"/>
      <protection hidden="1"/>
    </xf>
    <xf numFmtId="168" fontId="43" fillId="0" borderId="3" xfId="1" applyNumberFormat="1" applyFont="1" applyFill="1" applyBorder="1" applyAlignment="1" applyProtection="1">
      <alignment vertical="center"/>
      <protection hidden="1"/>
    </xf>
    <xf numFmtId="168" fontId="43" fillId="0" borderId="4" xfId="1" applyNumberFormat="1" applyFont="1" applyFill="1" applyBorder="1" applyAlignment="1" applyProtection="1">
      <alignment vertical="center"/>
      <protection hidden="1"/>
    </xf>
    <xf numFmtId="166" fontId="43" fillId="0" borderId="1" xfId="3" applyNumberFormat="1" applyFont="1" applyFill="1" applyBorder="1" applyAlignment="1" applyProtection="1">
      <alignment vertical="center"/>
      <protection locked="0" hidden="1"/>
    </xf>
    <xf numFmtId="168" fontId="27" fillId="16" borderId="81" xfId="1" applyNumberFormat="1" applyFont="1" applyFill="1" applyBorder="1" applyAlignment="1" applyProtection="1">
      <alignment vertical="center"/>
      <protection hidden="1"/>
    </xf>
    <xf numFmtId="168" fontId="27" fillId="16" borderId="66" xfId="1" applyNumberFormat="1" applyFont="1" applyFill="1" applyBorder="1" applyAlignment="1" applyProtection="1">
      <alignment vertical="center"/>
      <protection hidden="1"/>
    </xf>
    <xf numFmtId="168" fontId="27" fillId="16" borderId="71" xfId="1" applyNumberFormat="1" applyFont="1" applyFill="1" applyBorder="1" applyAlignment="1" applyProtection="1">
      <alignment vertical="center"/>
      <protection hidden="1"/>
    </xf>
    <xf numFmtId="168" fontId="27" fillId="16" borderId="69" xfId="1" applyNumberFormat="1" applyFont="1" applyFill="1" applyBorder="1" applyAlignment="1" applyProtection="1">
      <alignment vertical="center"/>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9" fontId="43" fillId="0" borderId="1" xfId="3" applyFont="1" applyFill="1" applyBorder="1" applyAlignment="1" applyProtection="1">
      <alignment horizontal="right" vertical="center"/>
      <protection locked="0" hidden="1"/>
    </xf>
    <xf numFmtId="166" fontId="43" fillId="0" borderId="3" xfId="3" applyNumberFormat="1" applyFont="1" applyFill="1" applyBorder="1" applyAlignment="1" applyProtection="1">
      <alignment horizontal="right" vertical="center"/>
      <protection locked="0" hidden="1"/>
    </xf>
    <xf numFmtId="166" fontId="43" fillId="0" borderId="4" xfId="3" applyNumberFormat="1" applyFont="1" applyFill="1" applyBorder="1" applyAlignment="1" applyProtection="1">
      <alignment horizontal="right" vertical="center"/>
      <protection locked="0" hidden="1"/>
    </xf>
    <xf numFmtId="0" fontId="42" fillId="11" borderId="0" xfId="0" applyFont="1" applyFill="1" applyBorder="1" applyAlignment="1" applyProtection="1">
      <alignment horizontal="center" vertical="center"/>
      <protection hidden="1"/>
    </xf>
    <xf numFmtId="0" fontId="47" fillId="11" borderId="0" xfId="0" applyFont="1" applyFill="1" applyBorder="1" applyProtection="1">
      <protection hidden="1"/>
    </xf>
    <xf numFmtId="9" fontId="48" fillId="11" borderId="15" xfId="3" applyFont="1" applyFill="1" applyBorder="1" applyAlignment="1" applyProtection="1">
      <alignment horizontal="center" vertical="center"/>
      <protection hidden="1"/>
    </xf>
    <xf numFmtId="164"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right"/>
      <protection hidden="1"/>
    </xf>
    <xf numFmtId="164" fontId="43" fillId="11" borderId="0" xfId="0" applyNumberFormat="1" applyFont="1" applyFill="1" applyProtection="1">
      <protection hidden="1"/>
    </xf>
    <xf numFmtId="9" fontId="48" fillId="11" borderId="0" xfId="3" applyFont="1" applyFill="1" applyBorder="1" applyAlignment="1" applyProtection="1">
      <alignment horizontal="center" vertical="center"/>
      <protection hidden="1"/>
    </xf>
    <xf numFmtId="1" fontId="43" fillId="11" borderId="0" xfId="0" applyNumberFormat="1" applyFont="1" applyFill="1" applyAlignment="1" applyProtection="1">
      <alignment horizontal="right"/>
      <protection hidden="1"/>
    </xf>
    <xf numFmtId="167" fontId="43" fillId="11" borderId="0" xfId="1" applyNumberFormat="1" applyFont="1" applyFill="1" applyBorder="1" applyProtection="1">
      <protection hidden="1"/>
    </xf>
    <xf numFmtId="164" fontId="43" fillId="11" borderId="0" xfId="1" applyNumberFormat="1" applyFont="1" applyFill="1" applyBorder="1" applyProtection="1">
      <protection hidden="1"/>
    </xf>
    <xf numFmtId="0" fontId="49" fillId="11" borderId="0" xfId="0" applyFont="1" applyFill="1" applyProtection="1">
      <protection hidden="1"/>
    </xf>
    <xf numFmtId="2" fontId="43" fillId="11" borderId="0" xfId="0" applyNumberFormat="1" applyFont="1" applyFill="1" applyProtection="1">
      <protection hidden="1"/>
    </xf>
    <xf numFmtId="166" fontId="48" fillId="11" borderId="0" xfId="3" applyNumberFormat="1" applyFont="1" applyFill="1" applyProtection="1">
      <protection hidden="1"/>
    </xf>
    <xf numFmtId="165" fontId="43" fillId="11" borderId="0" xfId="0" applyNumberFormat="1" applyFont="1" applyFill="1" applyAlignment="1" applyProtection="1">
      <alignment horizontal="center"/>
      <protection hidden="1"/>
    </xf>
    <xf numFmtId="170" fontId="43" fillId="11" borderId="0" xfId="0" applyNumberFormat="1" applyFont="1" applyFill="1" applyProtection="1">
      <protection hidden="1"/>
    </xf>
    <xf numFmtId="0" fontId="50" fillId="11" borderId="0" xfId="0" applyFont="1" applyFill="1" applyProtection="1">
      <protection hidden="1"/>
    </xf>
    <xf numFmtId="167" fontId="26" fillId="16" borderId="81" xfId="1" applyNumberFormat="1" applyFont="1" applyFill="1" applyBorder="1" applyProtection="1">
      <protection hidden="1"/>
    </xf>
    <xf numFmtId="167" fontId="43" fillId="15" borderId="1" xfId="1" applyNumberFormat="1" applyFont="1" applyFill="1" applyBorder="1" applyProtection="1">
      <protection hidden="1"/>
    </xf>
    <xf numFmtId="170" fontId="43" fillId="0" borderId="3" xfId="0" applyNumberFormat="1" applyFont="1" applyFill="1" applyBorder="1" applyProtection="1">
      <protection locked="0" hidden="1"/>
    </xf>
    <xf numFmtId="170" fontId="43" fillId="0" borderId="4" xfId="0" applyNumberFormat="1" applyFont="1" applyFill="1" applyBorder="1" applyProtection="1">
      <protection locked="0" hidden="1"/>
    </xf>
    <xf numFmtId="165" fontId="43" fillId="11" borderId="0" xfId="0" applyNumberFormat="1" applyFont="1" applyFill="1" applyAlignment="1" applyProtection="1">
      <alignment vertical="center"/>
      <protection hidden="1"/>
    </xf>
    <xf numFmtId="0" fontId="43" fillId="0" borderId="2" xfId="0" applyFont="1" applyFill="1" applyBorder="1" applyAlignment="1" applyProtection="1">
      <alignment vertical="center"/>
      <protection locked="0"/>
    </xf>
    <xf numFmtId="0" fontId="43" fillId="0" borderId="3" xfId="0" applyFont="1" applyFill="1" applyBorder="1" applyAlignment="1" applyProtection="1">
      <alignment vertical="center"/>
      <protection locked="0"/>
    </xf>
    <xf numFmtId="0" fontId="43" fillId="0" borderId="4" xfId="0" applyFont="1" applyFill="1" applyBorder="1" applyAlignment="1" applyProtection="1">
      <alignment vertical="center"/>
      <protection locked="0"/>
    </xf>
    <xf numFmtId="168" fontId="43" fillId="0" borderId="2" xfId="1" applyNumberFormat="1" applyFont="1" applyFill="1" applyBorder="1" applyAlignment="1" applyProtection="1">
      <alignment vertical="center"/>
      <protection locked="0"/>
    </xf>
    <xf numFmtId="168" fontId="43" fillId="0" borderId="3" xfId="1" applyNumberFormat="1" applyFont="1" applyFill="1" applyBorder="1" applyAlignment="1" applyProtection="1">
      <alignment vertical="center"/>
      <protection locked="0"/>
    </xf>
    <xf numFmtId="168" fontId="43" fillId="0" borderId="4" xfId="1" applyNumberFormat="1" applyFont="1" applyFill="1" applyBorder="1" applyAlignment="1" applyProtection="1">
      <alignment vertical="center"/>
      <protection locked="0"/>
    </xf>
    <xf numFmtId="167" fontId="43" fillId="0" borderId="2" xfId="1" applyNumberFormat="1" applyFont="1" applyFill="1" applyBorder="1" applyAlignment="1" applyProtection="1">
      <alignment vertical="center"/>
      <protection locked="0"/>
    </xf>
    <xf numFmtId="167" fontId="43" fillId="0" borderId="3" xfId="1" applyNumberFormat="1" applyFont="1" applyFill="1" applyBorder="1" applyAlignment="1" applyProtection="1">
      <alignment vertical="center"/>
      <protection locked="0"/>
    </xf>
    <xf numFmtId="167" fontId="43" fillId="0" borderId="4" xfId="1" applyNumberFormat="1" applyFont="1" applyFill="1" applyBorder="1" applyAlignment="1" applyProtection="1">
      <alignment vertical="center"/>
      <protection locked="0"/>
    </xf>
    <xf numFmtId="9" fontId="43" fillId="0" borderId="1" xfId="3" applyNumberFormat="1" applyFont="1" applyFill="1" applyBorder="1" applyAlignment="1" applyProtection="1">
      <alignment vertical="center"/>
      <protection locked="0"/>
    </xf>
    <xf numFmtId="0" fontId="50" fillId="11" borderId="0" xfId="0" applyFont="1" applyFill="1" applyAlignment="1" applyProtection="1">
      <alignment vertical="center"/>
      <protection hidden="1"/>
    </xf>
    <xf numFmtId="0" fontId="51" fillId="11" borderId="0" xfId="0" applyFont="1" applyFill="1" applyBorder="1" applyAlignment="1" applyProtection="1">
      <alignment vertical="center"/>
      <protection hidden="1"/>
    </xf>
    <xf numFmtId="0" fontId="51" fillId="11" borderId="0" xfId="0" applyFont="1" applyFill="1" applyAlignment="1" applyProtection="1">
      <alignment vertical="center"/>
      <protection hidden="1"/>
    </xf>
    <xf numFmtId="0" fontId="43" fillId="11" borderId="0" xfId="0" applyFont="1" applyFill="1" applyAlignment="1" applyProtection="1">
      <alignment horizontal="left" vertical="center" wrapText="1"/>
      <protection hidden="1"/>
    </xf>
    <xf numFmtId="0" fontId="51" fillId="11" borderId="0" xfId="0" applyFont="1" applyFill="1" applyAlignment="1" applyProtection="1">
      <alignment horizontal="left" vertical="center" wrapText="1"/>
      <protection hidden="1"/>
    </xf>
    <xf numFmtId="0" fontId="43" fillId="11" borderId="0" xfId="0" applyFont="1" applyFill="1" applyBorder="1" applyAlignment="1" applyProtection="1">
      <alignment horizontal="center" vertical="center"/>
      <protection hidden="1"/>
    </xf>
    <xf numFmtId="0" fontId="52" fillId="11" borderId="0" xfId="0" applyFont="1" applyFill="1" applyBorder="1" applyAlignment="1" applyProtection="1">
      <alignment horizontal="center" vertical="center"/>
      <protection hidden="1"/>
    </xf>
    <xf numFmtId="164" fontId="51" fillId="11" borderId="0" xfId="1" applyFont="1" applyFill="1" applyAlignment="1" applyProtection="1">
      <alignment vertical="center"/>
      <protection hidden="1"/>
    </xf>
    <xf numFmtId="0" fontId="51" fillId="11" borderId="0" xfId="0" applyFont="1" applyFill="1" applyAlignment="1" applyProtection="1">
      <alignment horizontal="center" vertical="center"/>
      <protection hidden="1"/>
    </xf>
    <xf numFmtId="3" fontId="43" fillId="11" borderId="0" xfId="0" applyNumberFormat="1" applyFont="1" applyFill="1" applyAlignment="1" applyProtection="1">
      <alignment vertical="center"/>
      <protection hidden="1"/>
    </xf>
    <xf numFmtId="0" fontId="26" fillId="16" borderId="81" xfId="0" applyFont="1" applyFill="1" applyBorder="1" applyAlignment="1" applyProtection="1">
      <alignment vertical="center" wrapText="1"/>
      <protection hidden="1"/>
    </xf>
    <xf numFmtId="49" fontId="43" fillId="0" borderId="1" xfId="0" applyNumberFormat="1" applyFont="1" applyFill="1" applyBorder="1" applyAlignment="1" applyProtection="1">
      <alignment horizontal="left" vertical="center"/>
      <protection locked="0" hidden="1"/>
    </xf>
    <xf numFmtId="0" fontId="26" fillId="16" borderId="0" xfId="0" applyFont="1" applyFill="1" applyBorder="1" applyAlignment="1" applyProtection="1">
      <alignment horizontal="left" vertical="center"/>
      <protection hidden="1"/>
    </xf>
    <xf numFmtId="0" fontId="26" fillId="16" borderId="70" xfId="0" applyFont="1" applyFill="1" applyBorder="1" applyAlignment="1" applyProtection="1">
      <alignment horizontal="left" vertical="center"/>
      <protection hidden="1"/>
    </xf>
    <xf numFmtId="0" fontId="26" fillId="16" borderId="71" xfId="0" applyFont="1" applyFill="1" applyBorder="1" applyAlignment="1" applyProtection="1">
      <alignment horizontal="left" vertical="center"/>
      <protection hidden="1"/>
    </xf>
    <xf numFmtId="3" fontId="27" fillId="16" borderId="71" xfId="0" applyNumberFormat="1" applyFont="1" applyFill="1" applyBorder="1" applyAlignment="1" applyProtection="1">
      <alignment vertical="center"/>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0" fontId="26" fillId="16" borderId="71" xfId="0" applyFont="1" applyFill="1" applyBorder="1" applyAlignment="1" applyProtection="1">
      <alignment horizontal="center" vertical="center"/>
      <protection hidden="1"/>
    </xf>
    <xf numFmtId="3" fontId="27" fillId="16" borderId="81" xfId="0" applyNumberFormat="1" applyFont="1" applyFill="1" applyBorder="1" applyAlignment="1" applyProtection="1">
      <alignment vertical="center"/>
      <protection hidden="1"/>
    </xf>
    <xf numFmtId="0" fontId="35" fillId="11" borderId="0" xfId="0" applyFont="1" applyFill="1" applyBorder="1" applyProtection="1">
      <protection hidden="1"/>
    </xf>
    <xf numFmtId="0" fontId="53" fillId="11" borderId="0" xfId="0" applyFont="1" applyFill="1" applyBorder="1" applyAlignment="1" applyProtection="1">
      <alignment horizontal="center" vertical="center"/>
      <protection hidden="1"/>
    </xf>
    <xf numFmtId="0" fontId="35" fillId="11" borderId="0" xfId="0" applyFont="1" applyFill="1" applyAlignment="1" applyProtection="1">
      <protection hidden="1"/>
    </xf>
    <xf numFmtId="0" fontId="28" fillId="15" borderId="73" xfId="0" applyFont="1" applyFill="1" applyBorder="1" applyProtection="1">
      <protection hidden="1"/>
    </xf>
    <xf numFmtId="0" fontId="35" fillId="15" borderId="74" xfId="0" applyFont="1" applyFill="1" applyBorder="1" applyProtection="1">
      <protection hidden="1"/>
    </xf>
    <xf numFmtId="0" fontId="37" fillId="15" borderId="76" xfId="0" applyFont="1" applyFill="1" applyBorder="1" applyAlignment="1" applyProtection="1">
      <protection hidden="1"/>
    </xf>
    <xf numFmtId="0" fontId="35" fillId="15" borderId="0" xfId="0" applyFont="1" applyFill="1" applyBorder="1" applyAlignment="1" applyProtection="1">
      <protection hidden="1"/>
    </xf>
    <xf numFmtId="0" fontId="53" fillId="15" borderId="0" xfId="0" applyFont="1" applyFill="1" applyBorder="1" applyAlignment="1" applyProtection="1">
      <alignment horizontal="center" vertical="center"/>
      <protection hidden="1"/>
    </xf>
    <xf numFmtId="0" fontId="53" fillId="15" borderId="79" xfId="0" applyFont="1" applyFill="1" applyBorder="1" applyAlignment="1" applyProtection="1">
      <alignment horizontal="center" vertical="center"/>
      <protection hidden="1"/>
    </xf>
    <xf numFmtId="0" fontId="53" fillId="15" borderId="74" xfId="0" applyFont="1" applyFill="1" applyBorder="1" applyAlignment="1" applyProtection="1">
      <alignment horizontal="center" vertical="center"/>
      <protection hidden="1"/>
    </xf>
    <xf numFmtId="0" fontId="54" fillId="15" borderId="0" xfId="0" applyFont="1" applyFill="1" applyBorder="1" applyAlignment="1" applyProtection="1">
      <alignment horizontal="center" vertical="center"/>
      <protection hidden="1"/>
    </xf>
    <xf numFmtId="0" fontId="38" fillId="15" borderId="0" xfId="2" applyFont="1" applyFill="1" applyBorder="1" applyAlignment="1" applyProtection="1">
      <alignment horizontal="left" vertical="center"/>
      <protection hidden="1"/>
    </xf>
    <xf numFmtId="0" fontId="28" fillId="15" borderId="74" xfId="0" applyFont="1" applyFill="1" applyBorder="1" applyProtection="1">
      <protection hidden="1"/>
    </xf>
    <xf numFmtId="0" fontId="28" fillId="15" borderId="75" xfId="0" applyFont="1" applyFill="1" applyBorder="1" applyProtection="1">
      <protection hidden="1"/>
    </xf>
    <xf numFmtId="0" fontId="28" fillId="15" borderId="77" xfId="0" applyFont="1" applyFill="1" applyBorder="1" applyProtection="1">
      <protection hidden="1"/>
    </xf>
    <xf numFmtId="0" fontId="43" fillId="15" borderId="77" xfId="0" applyFont="1" applyFill="1" applyBorder="1" applyProtection="1">
      <protection hidden="1"/>
    </xf>
    <xf numFmtId="0" fontId="43" fillId="15" borderId="80" xfId="0" applyFont="1" applyFill="1" applyBorder="1" applyProtection="1">
      <protection hidden="1"/>
    </xf>
    <xf numFmtId="0" fontId="43" fillId="15" borderId="75" xfId="0" applyFont="1" applyFill="1" applyBorder="1" applyProtection="1">
      <protection hidden="1"/>
    </xf>
    <xf numFmtId="0" fontId="39" fillId="15" borderId="76" xfId="0" applyFont="1" applyFill="1" applyBorder="1" applyAlignment="1" applyProtection="1">
      <alignment horizontal="center" vertical="center" textRotation="90"/>
      <protection hidden="1"/>
    </xf>
    <xf numFmtId="0" fontId="38" fillId="15" borderId="74" xfId="2" applyFont="1" applyFill="1" applyBorder="1" applyAlignment="1" applyProtection="1">
      <alignment horizontal="left" vertical="center"/>
      <protection hidden="1"/>
    </xf>
    <xf numFmtId="0" fontId="38" fillId="15" borderId="79" xfId="2" applyFont="1" applyFill="1" applyBorder="1" applyAlignment="1" applyProtection="1">
      <alignment horizontal="left" vertical="center"/>
      <protection hidden="1"/>
    </xf>
    <xf numFmtId="0" fontId="28" fillId="15" borderId="79" xfId="0" applyFont="1" applyFill="1" applyBorder="1" applyProtection="1">
      <protection hidden="1"/>
    </xf>
    <xf numFmtId="0" fontId="4" fillId="11" borderId="35" xfId="0" applyFont="1" applyFill="1" applyBorder="1" applyAlignment="1" applyProtection="1">
      <alignment vertical="center"/>
      <protection hidden="1"/>
    </xf>
    <xf numFmtId="0" fontId="4" fillId="11" borderId="16" xfId="0" applyFont="1" applyFill="1" applyBorder="1" applyAlignment="1" applyProtection="1">
      <alignment vertical="center"/>
      <protection hidden="1"/>
    </xf>
    <xf numFmtId="0" fontId="4" fillId="11" borderId="36" xfId="0" applyFont="1" applyFill="1" applyBorder="1" applyAlignment="1" applyProtection="1">
      <alignment vertical="center"/>
      <protection hidden="1"/>
    </xf>
    <xf numFmtId="0" fontId="4" fillId="11" borderId="15" xfId="0" applyFont="1" applyFill="1" applyBorder="1" applyAlignment="1" applyProtection="1">
      <alignment vertical="center"/>
      <protection hidden="1"/>
    </xf>
    <xf numFmtId="0" fontId="4" fillId="11" borderId="0" xfId="0" applyFont="1" applyFill="1" applyBorder="1" applyAlignment="1" applyProtection="1">
      <alignment vertical="center"/>
      <protection hidden="1"/>
    </xf>
    <xf numFmtId="0" fontId="4" fillId="11" borderId="42" xfId="0" applyFont="1" applyFill="1" applyBorder="1" applyAlignment="1" applyProtection="1">
      <alignment vertical="center"/>
      <protection hidden="1"/>
    </xf>
    <xf numFmtId="0" fontId="4" fillId="11" borderId="37" xfId="0" applyFont="1" applyFill="1" applyBorder="1" applyAlignment="1" applyProtection="1">
      <alignment vertical="center"/>
      <protection hidden="1"/>
    </xf>
    <xf numFmtId="0" fontId="4" fillId="11" borderId="38" xfId="0" applyFont="1" applyFill="1" applyBorder="1" applyAlignment="1" applyProtection="1">
      <alignment vertical="center"/>
      <protection hidden="1"/>
    </xf>
    <xf numFmtId="0" fontId="4" fillId="11" borderId="39" xfId="0" applyFont="1" applyFill="1" applyBorder="1" applyAlignment="1" applyProtection="1">
      <alignment vertical="center"/>
      <protection hidden="1"/>
    </xf>
    <xf numFmtId="0" fontId="4" fillId="18" borderId="35" xfId="0" applyFont="1" applyFill="1" applyBorder="1" applyAlignment="1" applyProtection="1">
      <alignment vertical="center"/>
      <protection hidden="1"/>
    </xf>
    <xf numFmtId="0" fontId="4" fillId="18" borderId="16" xfId="0" applyFont="1" applyFill="1" applyBorder="1" applyAlignment="1" applyProtection="1">
      <alignment vertical="center"/>
      <protection hidden="1"/>
    </xf>
    <xf numFmtId="0" fontId="4" fillId="18" borderId="36" xfId="0" applyFont="1" applyFill="1" applyBorder="1" applyAlignment="1" applyProtection="1">
      <alignment vertical="center"/>
      <protection hidden="1"/>
    </xf>
    <xf numFmtId="0" fontId="4" fillId="18" borderId="15" xfId="0" applyFont="1" applyFill="1" applyBorder="1" applyAlignment="1" applyProtection="1">
      <alignment vertical="center"/>
      <protection hidden="1"/>
    </xf>
    <xf numFmtId="0" fontId="4" fillId="18" borderId="0" xfId="0" applyFont="1" applyFill="1" applyBorder="1" applyAlignment="1" applyProtection="1">
      <alignment vertical="center"/>
      <protection hidden="1"/>
    </xf>
    <xf numFmtId="0" fontId="4" fillId="18" borderId="42" xfId="0" applyFont="1" applyFill="1" applyBorder="1" applyAlignment="1" applyProtection="1">
      <alignment vertical="center"/>
      <protection hidden="1"/>
    </xf>
    <xf numFmtId="3" fontId="4" fillId="18" borderId="0" xfId="0" applyNumberFormat="1" applyFont="1" applyFill="1" applyBorder="1" applyAlignment="1" applyProtection="1">
      <alignment vertical="center"/>
      <protection hidden="1"/>
    </xf>
    <xf numFmtId="0" fontId="4" fillId="18" borderId="37" xfId="0" applyFont="1" applyFill="1" applyBorder="1" applyAlignment="1" applyProtection="1">
      <alignment vertical="center"/>
      <protection hidden="1"/>
    </xf>
    <xf numFmtId="0" fontId="4" fillId="18" borderId="38" xfId="0" applyFont="1" applyFill="1" applyBorder="1" applyAlignment="1" applyProtection="1">
      <alignment vertical="center"/>
      <protection hidden="1"/>
    </xf>
    <xf numFmtId="0" fontId="4" fillId="18" borderId="39" xfId="0" applyFont="1" applyFill="1" applyBorder="1" applyAlignment="1" applyProtection="1">
      <alignment vertical="center"/>
      <protection hidden="1"/>
    </xf>
    <xf numFmtId="166" fontId="4" fillId="18" borderId="15" xfId="3" applyNumberFormat="1" applyFont="1" applyFill="1" applyBorder="1" applyAlignment="1" applyProtection="1">
      <alignment vertical="center"/>
      <protection hidden="1"/>
    </xf>
    <xf numFmtId="166" fontId="4" fillId="18" borderId="0" xfId="3" applyNumberFormat="1" applyFont="1" applyFill="1" applyBorder="1" applyAlignment="1" applyProtection="1">
      <alignment vertical="center"/>
      <protection hidden="1"/>
    </xf>
    <xf numFmtId="166" fontId="4" fillId="18" borderId="42" xfId="3" applyNumberFormat="1" applyFont="1" applyFill="1" applyBorder="1" applyAlignment="1" applyProtection="1">
      <alignment vertical="center"/>
      <protection hidden="1"/>
    </xf>
    <xf numFmtId="0" fontId="4" fillId="18" borderId="105" xfId="0" applyFont="1" applyFill="1" applyBorder="1" applyAlignment="1" applyProtection="1">
      <alignment vertical="center"/>
      <protection hidden="1"/>
    </xf>
    <xf numFmtId="0" fontId="4" fillId="18" borderId="103" xfId="0" applyFont="1" applyFill="1" applyBorder="1" applyAlignment="1" applyProtection="1">
      <alignment vertical="center"/>
      <protection hidden="1"/>
    </xf>
    <xf numFmtId="166" fontId="4" fillId="18" borderId="109" xfId="3" applyNumberFormat="1" applyFont="1" applyFill="1" applyBorder="1" applyAlignment="1" applyProtection="1">
      <alignment vertical="center"/>
      <protection hidden="1"/>
    </xf>
    <xf numFmtId="166" fontId="4" fillId="18" borderId="107" xfId="3" applyNumberFormat="1" applyFont="1" applyFill="1" applyBorder="1" applyAlignment="1" applyProtection="1">
      <alignment vertical="center"/>
      <protection hidden="1"/>
    </xf>
    <xf numFmtId="166" fontId="4" fillId="18" borderId="108" xfId="3" applyNumberFormat="1" applyFont="1" applyFill="1" applyBorder="1" applyAlignment="1" applyProtection="1">
      <alignment vertical="center"/>
      <protection hidden="1"/>
    </xf>
    <xf numFmtId="3" fontId="55" fillId="18" borderId="109" xfId="0" applyNumberFormat="1" applyFont="1" applyFill="1" applyBorder="1" applyAlignment="1" applyProtection="1">
      <alignment horizontal="right" vertical="center"/>
      <protection hidden="1"/>
    </xf>
    <xf numFmtId="3" fontId="55" fillId="18" borderId="107" xfId="0" applyNumberFormat="1" applyFont="1" applyFill="1" applyBorder="1" applyAlignment="1" applyProtection="1">
      <alignment horizontal="right" vertical="center"/>
      <protection hidden="1"/>
    </xf>
    <xf numFmtId="0" fontId="4" fillId="18" borderId="107" xfId="0" applyFont="1" applyFill="1" applyBorder="1" applyAlignment="1" applyProtection="1">
      <alignment horizontal="right" vertical="center"/>
      <protection hidden="1"/>
    </xf>
    <xf numFmtId="0" fontId="4" fillId="18" borderId="109" xfId="0" applyFont="1" applyFill="1" applyBorder="1" applyAlignment="1" applyProtection="1">
      <alignment vertical="center"/>
      <protection hidden="1"/>
    </xf>
    <xf numFmtId="0" fontId="4" fillId="18" borderId="107" xfId="0" applyFont="1" applyFill="1" applyBorder="1" applyAlignment="1" applyProtection="1">
      <alignment vertical="center"/>
      <protection hidden="1"/>
    </xf>
    <xf numFmtId="0" fontId="4" fillId="18" borderId="110" xfId="0" applyFont="1" applyFill="1" applyBorder="1" applyAlignment="1" applyProtection="1">
      <alignment vertical="center"/>
      <protection hidden="1"/>
    </xf>
    <xf numFmtId="0" fontId="43" fillId="19" borderId="0" xfId="0" applyFont="1" applyFill="1" applyAlignment="1" applyProtection="1">
      <alignment vertical="center"/>
      <protection hidden="1"/>
    </xf>
    <xf numFmtId="0" fontId="48" fillId="19" borderId="0" xfId="0" applyFont="1" applyFill="1" applyAlignment="1" applyProtection="1">
      <alignment vertical="center"/>
      <protection hidden="1"/>
    </xf>
    <xf numFmtId="168" fontId="48" fillId="19" borderId="0" xfId="1" applyNumberFormat="1" applyFont="1" applyFill="1" applyAlignment="1" applyProtection="1">
      <alignment vertical="center"/>
      <protection hidden="1"/>
    </xf>
    <xf numFmtId="165" fontId="48" fillId="19" borderId="0" xfId="0" applyNumberFormat="1" applyFont="1" applyFill="1" applyAlignment="1" applyProtection="1">
      <alignment vertical="center"/>
      <protection hidden="1"/>
    </xf>
    <xf numFmtId="165" fontId="14" fillId="19" borderId="0" xfId="0" applyNumberFormat="1" applyFont="1" applyFill="1" applyProtection="1">
      <protection hidden="1"/>
    </xf>
    <xf numFmtId="0" fontId="4" fillId="11" borderId="97" xfId="0" applyFont="1" applyFill="1" applyBorder="1" applyAlignment="1" applyProtection="1">
      <alignment vertical="center"/>
      <protection hidden="1"/>
    </xf>
    <xf numFmtId="0" fontId="4" fillId="11" borderId="98" xfId="0" applyFont="1" applyFill="1" applyBorder="1" applyAlignment="1" applyProtection="1">
      <alignment vertical="center"/>
      <protection hidden="1"/>
    </xf>
    <xf numFmtId="0" fontId="4" fillId="11" borderId="99" xfId="0" applyFont="1" applyFill="1" applyBorder="1" applyAlignment="1" applyProtection="1">
      <alignment vertical="center"/>
      <protection hidden="1"/>
    </xf>
    <xf numFmtId="0" fontId="4" fillId="11" borderId="100" xfId="0" applyFont="1" applyFill="1" applyBorder="1" applyAlignment="1" applyProtection="1">
      <alignment vertical="center"/>
      <protection hidden="1"/>
    </xf>
    <xf numFmtId="0" fontId="4" fillId="11" borderId="102" xfId="0" applyFont="1" applyFill="1" applyBorder="1" applyAlignment="1" applyProtection="1">
      <alignment vertical="center"/>
      <protection hidden="1"/>
    </xf>
    <xf numFmtId="166" fontId="4" fillId="11" borderId="102"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0" fontId="4" fillId="11" borderId="106" xfId="0" applyFont="1" applyFill="1" applyBorder="1" applyAlignment="1" applyProtection="1">
      <alignment vertical="center"/>
      <protection hidden="1"/>
    </xf>
    <xf numFmtId="0" fontId="4" fillId="11" borderId="107" xfId="0" applyFont="1" applyFill="1" applyBorder="1" applyAlignment="1" applyProtection="1">
      <alignment vertical="center"/>
      <protection hidden="1"/>
    </xf>
    <xf numFmtId="0" fontId="4" fillId="11" borderId="108" xfId="0" applyFont="1" applyFill="1" applyBorder="1" applyAlignment="1" applyProtection="1">
      <alignment vertical="center"/>
      <protection hidden="1"/>
    </xf>
    <xf numFmtId="0" fontId="4" fillId="11" borderId="101" xfId="0" applyFont="1" applyFill="1" applyBorder="1" applyAlignment="1" applyProtection="1">
      <alignment vertical="center"/>
      <protection hidden="1"/>
    </xf>
    <xf numFmtId="3" fontId="4" fillId="11" borderId="15" xfId="0" applyNumberFormat="1" applyFont="1" applyFill="1" applyBorder="1" applyAlignment="1" applyProtection="1">
      <alignment horizontal="right" vertical="center"/>
      <protection hidden="1"/>
    </xf>
    <xf numFmtId="3" fontId="4" fillId="11" borderId="0" xfId="0" applyNumberFormat="1" applyFont="1" applyFill="1" applyBorder="1" applyAlignment="1" applyProtection="1">
      <alignment horizontal="right" vertical="center"/>
      <protection hidden="1"/>
    </xf>
    <xf numFmtId="0" fontId="4" fillId="11" borderId="0" xfId="0" applyFont="1" applyFill="1" applyBorder="1" applyAlignment="1" applyProtection="1">
      <alignment horizontal="left" vertical="center"/>
      <protection hidden="1"/>
    </xf>
    <xf numFmtId="0" fontId="4" fillId="11" borderId="42" xfId="0" applyFont="1" applyFill="1" applyBorder="1" applyAlignment="1" applyProtection="1">
      <alignment horizontal="left" vertical="center"/>
      <protection hidden="1"/>
    </xf>
    <xf numFmtId="0" fontId="4" fillId="11" borderId="103" xfId="0" applyFont="1" applyFill="1" applyBorder="1" applyAlignment="1" applyProtection="1">
      <alignment vertical="center"/>
      <protection hidden="1"/>
    </xf>
    <xf numFmtId="0" fontId="4" fillId="11" borderId="104" xfId="0" applyFont="1" applyFill="1" applyBorder="1" applyAlignment="1" applyProtection="1">
      <alignment vertical="center"/>
      <protection hidden="1"/>
    </xf>
    <xf numFmtId="0" fontId="4" fillId="18" borderId="0" xfId="0" applyFont="1" applyFill="1" applyBorder="1" applyAlignment="1" applyProtection="1">
      <alignment horizontal="center" vertical="center"/>
      <protection hidden="1"/>
    </xf>
    <xf numFmtId="0" fontId="4" fillId="18" borderId="103" xfId="0" applyFont="1" applyFill="1" applyBorder="1" applyAlignment="1" applyProtection="1">
      <alignment horizontal="center" vertical="center"/>
      <protection hidden="1"/>
    </xf>
    <xf numFmtId="0" fontId="43" fillId="18" borderId="0" xfId="0" applyFont="1" applyFill="1" applyAlignment="1" applyProtection="1">
      <alignment vertical="center"/>
      <protection hidden="1"/>
    </xf>
    <xf numFmtId="0" fontId="4" fillId="18" borderId="15" xfId="0" applyFont="1" applyFill="1" applyBorder="1" applyAlignment="1" applyProtection="1">
      <alignment horizontal="center" vertical="center"/>
      <protection hidden="1"/>
    </xf>
    <xf numFmtId="0" fontId="43" fillId="18" borderId="15" xfId="0" applyFont="1" applyFill="1" applyBorder="1" applyAlignment="1" applyProtection="1">
      <alignment vertical="center"/>
      <protection hidden="1"/>
    </xf>
    <xf numFmtId="0" fontId="43" fillId="18" borderId="0" xfId="0" applyFont="1" applyFill="1" applyBorder="1" applyAlignment="1" applyProtection="1">
      <alignment vertical="center"/>
      <protection hidden="1"/>
    </xf>
    <xf numFmtId="0" fontId="43" fillId="18" borderId="103" xfId="0" applyFont="1" applyFill="1" applyBorder="1" applyAlignment="1" applyProtection="1">
      <alignment vertical="center"/>
      <protection hidden="1"/>
    </xf>
    <xf numFmtId="0" fontId="6" fillId="0" borderId="12" xfId="0" applyFont="1" applyFill="1" applyBorder="1" applyAlignment="1" applyProtection="1">
      <alignment vertical="center" wrapText="1"/>
    </xf>
    <xf numFmtId="0" fontId="42" fillId="11" borderId="0" xfId="0" applyFont="1" applyFill="1" applyAlignment="1" applyProtection="1">
      <alignment vertical="center" wrapText="1"/>
      <protection hidden="1"/>
    </xf>
    <xf numFmtId="3" fontId="42" fillId="11" borderId="0" xfId="3" applyNumberFormat="1" applyFont="1" applyFill="1" applyBorder="1" applyAlignment="1" applyProtection="1">
      <alignment vertical="center"/>
      <protection hidden="1"/>
    </xf>
    <xf numFmtId="3" fontId="57" fillId="11" borderId="0" xfId="3" applyNumberFormat="1" applyFont="1" applyFill="1" applyBorder="1" applyAlignment="1" applyProtection="1">
      <alignment vertical="center"/>
      <protection hidden="1"/>
    </xf>
    <xf numFmtId="3" fontId="58" fillId="11" borderId="0" xfId="3" applyNumberFormat="1" applyFont="1" applyFill="1" applyBorder="1" applyAlignment="1" applyProtection="1">
      <alignment vertical="center"/>
      <protection hidden="1"/>
    </xf>
    <xf numFmtId="0" fontId="44" fillId="11" borderId="16" xfId="2" applyFont="1" applyFill="1" applyBorder="1" applyAlignment="1" applyProtection="1">
      <alignment horizontal="center" vertical="center" wrapText="1"/>
      <protection hidden="1"/>
    </xf>
    <xf numFmtId="0" fontId="44" fillId="11" borderId="0" xfId="2" applyFont="1" applyFill="1" applyBorder="1" applyAlignment="1" applyProtection="1">
      <alignment horizontal="center" vertical="center" wrapText="1"/>
      <protection hidden="1"/>
    </xf>
    <xf numFmtId="0" fontId="59" fillId="11" borderId="0" xfId="2" applyFont="1" applyFill="1" applyAlignment="1" applyProtection="1">
      <alignment horizontal="center" vertical="center"/>
      <protection hidden="1"/>
    </xf>
    <xf numFmtId="9" fontId="42" fillId="11" borderId="0" xfId="3" applyFont="1" applyFill="1" applyBorder="1" applyAlignment="1" applyProtection="1">
      <alignment vertical="center"/>
      <protection hidden="1"/>
    </xf>
    <xf numFmtId="170" fontId="43" fillId="11" borderId="0" xfId="0" applyNumberFormat="1" applyFont="1" applyFill="1" applyAlignment="1" applyProtection="1">
      <alignment vertical="center"/>
      <protection hidden="1"/>
    </xf>
    <xf numFmtId="0" fontId="48" fillId="11" borderId="0" xfId="0" applyFont="1" applyFill="1" applyAlignment="1" applyProtection="1">
      <alignment horizontal="center" vertical="center"/>
      <protection hidden="1"/>
    </xf>
    <xf numFmtId="166" fontId="48" fillId="11" borderId="0" xfId="3" applyNumberFormat="1"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1" fontId="48" fillId="11" borderId="0" xfId="0" applyNumberFormat="1" applyFont="1" applyFill="1" applyAlignment="1" applyProtection="1">
      <alignment vertical="center"/>
      <protection hidden="1"/>
    </xf>
    <xf numFmtId="168" fontId="48" fillId="11" borderId="0" xfId="1" applyNumberFormat="1" applyFont="1" applyFill="1" applyAlignment="1" applyProtection="1">
      <alignment vertical="center"/>
      <protection hidden="1"/>
    </xf>
    <xf numFmtId="9" fontId="48" fillId="11" borderId="0" xfId="3" applyFont="1" applyFill="1" applyAlignment="1" applyProtection="1">
      <alignment vertical="center"/>
      <protection hidden="1"/>
    </xf>
    <xf numFmtId="9" fontId="48" fillId="11" borderId="0" xfId="0" applyNumberFormat="1" applyFont="1" applyFill="1" applyAlignment="1" applyProtection="1">
      <alignment vertical="center"/>
      <protection hidden="1"/>
    </xf>
    <xf numFmtId="168" fontId="48" fillId="11" borderId="0" xfId="0" applyNumberFormat="1" applyFont="1" applyFill="1" applyAlignment="1" applyProtection="1">
      <alignment vertical="center"/>
      <protection hidden="1"/>
    </xf>
    <xf numFmtId="169" fontId="48" fillId="11" borderId="0" xfId="3" applyNumberFormat="1" applyFont="1" applyFill="1" applyAlignment="1" applyProtection="1">
      <alignment vertical="center"/>
      <protection hidden="1"/>
    </xf>
    <xf numFmtId="0" fontId="26" fillId="21" borderId="81" xfId="0" applyFont="1" applyFill="1" applyBorder="1" applyAlignment="1" applyProtection="1">
      <alignment horizontal="center" vertical="center" wrapText="1"/>
      <protection hidden="1"/>
    </xf>
    <xf numFmtId="3" fontId="26" fillId="16" borderId="81" xfId="0" applyNumberFormat="1" applyFont="1" applyFill="1" applyBorder="1" applyAlignment="1" applyProtection="1">
      <alignment vertical="center"/>
      <protection hidden="1"/>
    </xf>
    <xf numFmtId="165" fontId="26" fillId="16" borderId="81" xfId="0" applyNumberFormat="1" applyFont="1" applyFill="1" applyBorder="1" applyAlignment="1" applyProtection="1">
      <alignment vertical="center"/>
      <protection hidden="1"/>
    </xf>
    <xf numFmtId="9" fontId="26" fillId="16" borderId="81" xfId="3" applyFont="1" applyFill="1" applyBorder="1" applyAlignment="1" applyProtection="1">
      <alignment vertical="center"/>
      <protection hidden="1"/>
    </xf>
    <xf numFmtId="4" fontId="26" fillId="16" borderId="81" xfId="0" applyNumberFormat="1" applyFont="1" applyFill="1" applyBorder="1" applyAlignment="1" applyProtection="1">
      <alignment vertical="center"/>
      <protection hidden="1"/>
    </xf>
    <xf numFmtId="0" fontId="35" fillId="11" borderId="0" xfId="0" applyFont="1" applyFill="1" applyAlignment="1" applyProtection="1">
      <alignment horizontal="center"/>
      <protection hidden="1"/>
    </xf>
    <xf numFmtId="0" fontId="53" fillId="11" borderId="0" xfId="0" applyFont="1" applyFill="1" applyAlignment="1" applyProtection="1">
      <protection hidden="1"/>
    </xf>
    <xf numFmtId="0" fontId="53" fillId="11" borderId="0" xfId="0" applyFont="1" applyFill="1" applyAlignment="1" applyProtection="1">
      <alignment horizontal="center"/>
      <protection hidden="1"/>
    </xf>
    <xf numFmtId="0" fontId="41" fillId="0" borderId="0" xfId="0" applyFont="1" applyFill="1" applyAlignment="1" applyProtection="1">
      <alignment horizontal="center" vertical="center"/>
      <protection hidden="1"/>
    </xf>
    <xf numFmtId="0" fontId="33" fillId="11" borderId="0" xfId="0" applyFont="1" applyFill="1" applyAlignment="1" applyProtection="1">
      <protection hidden="1"/>
    </xf>
    <xf numFmtId="0" fontId="33" fillId="11" borderId="0" xfId="0" applyFont="1" applyFill="1" applyAlignment="1" applyProtection="1">
      <alignment horizontal="center"/>
      <protection hidden="1"/>
    </xf>
    <xf numFmtId="0" fontId="41" fillId="11" borderId="0" xfId="0" applyFont="1" applyFill="1" applyAlignment="1" applyProtection="1">
      <protection hidden="1"/>
    </xf>
    <xf numFmtId="0" fontId="33" fillId="16" borderId="8" xfId="0" applyFont="1" applyFill="1" applyBorder="1" applyAlignment="1" applyProtection="1">
      <alignment horizontal="center" vertical="center" wrapText="1"/>
      <protection hidden="1"/>
    </xf>
    <xf numFmtId="0" fontId="33" fillId="16" borderId="9" xfId="0" applyFont="1" applyFill="1" applyBorder="1" applyAlignment="1" applyProtection="1">
      <alignment horizontal="center" vertical="center" wrapText="1"/>
      <protection hidden="1"/>
    </xf>
    <xf numFmtId="0" fontId="33" fillId="22" borderId="8" xfId="0" applyFont="1" applyFill="1" applyBorder="1" applyAlignment="1" applyProtection="1">
      <alignment horizontal="center" vertical="center" wrapText="1"/>
      <protection hidden="1"/>
    </xf>
    <xf numFmtId="16" fontId="33" fillId="22" borderId="8" xfId="0" quotePrefix="1" applyNumberFormat="1" applyFont="1" applyFill="1" applyBorder="1" applyAlignment="1" applyProtection="1">
      <alignment horizontal="center" vertical="center" wrapText="1"/>
      <protection hidden="1"/>
    </xf>
    <xf numFmtId="0" fontId="33" fillId="22" borderId="9" xfId="0" applyFont="1" applyFill="1" applyBorder="1" applyAlignment="1" applyProtection="1">
      <alignment horizontal="center" vertical="center" wrapText="1"/>
      <protection hidden="1"/>
    </xf>
    <xf numFmtId="0" fontId="61" fillId="23" borderId="8" xfId="0" applyFont="1" applyFill="1" applyBorder="1" applyAlignment="1" applyProtection="1">
      <alignment horizontal="center" vertical="center" wrapText="1"/>
      <protection hidden="1"/>
    </xf>
    <xf numFmtId="16" fontId="61" fillId="23" borderId="8" xfId="0" quotePrefix="1" applyNumberFormat="1" applyFont="1" applyFill="1" applyBorder="1" applyAlignment="1" applyProtection="1">
      <alignment horizontal="center" vertical="center" wrapText="1"/>
      <protection hidden="1"/>
    </xf>
    <xf numFmtId="0" fontId="61" fillId="23" borderId="9" xfId="0" applyFont="1" applyFill="1" applyBorder="1" applyAlignment="1" applyProtection="1">
      <alignment horizontal="center" vertical="center" wrapText="1"/>
      <protection hidden="1"/>
    </xf>
    <xf numFmtId="17" fontId="61" fillId="23" borderId="8" xfId="0" quotePrefix="1" applyNumberFormat="1" applyFont="1" applyFill="1" applyBorder="1" applyAlignment="1" applyProtection="1">
      <alignment horizontal="center" vertical="center" wrapText="1"/>
      <protection hidden="1"/>
    </xf>
    <xf numFmtId="0" fontId="61" fillId="23" borderId="10" xfId="0" applyFont="1" applyFill="1" applyBorder="1" applyAlignment="1" applyProtection="1">
      <alignment horizontal="center" vertical="center" wrapText="1"/>
      <protection hidden="1"/>
    </xf>
    <xf numFmtId="0" fontId="61" fillId="23" borderId="11" xfId="0" applyFont="1" applyFill="1" applyBorder="1" applyAlignment="1" applyProtection="1">
      <alignment horizontal="center" vertical="center" wrapText="1"/>
      <protection hidden="1"/>
    </xf>
    <xf numFmtId="0" fontId="44" fillId="22" borderId="0"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3" fillId="11" borderId="0" xfId="2" applyFont="1" applyFill="1" applyAlignment="1" applyProtection="1">
      <alignment horizontal="center" vertical="center"/>
      <protection hidden="1"/>
    </xf>
    <xf numFmtId="0" fontId="53" fillId="11" borderId="0" xfId="0" applyFont="1" applyFill="1" applyAlignment="1" applyProtection="1">
      <alignment horizontal="left" vertical="center"/>
      <protection hidden="1"/>
    </xf>
    <xf numFmtId="0" fontId="41" fillId="11" borderId="0" xfId="0" applyFont="1" applyFill="1" applyAlignment="1" applyProtection="1">
      <alignment horizontal="left" vertical="center"/>
      <protection hidden="1"/>
    </xf>
    <xf numFmtId="0" fontId="41" fillId="0" borderId="0" xfId="0" applyFont="1" applyFill="1" applyAlignment="1" applyProtection="1">
      <alignment horizontal="left" vertical="center"/>
      <protection hidden="1"/>
    </xf>
    <xf numFmtId="0" fontId="35" fillId="11" borderId="0" xfId="0" applyFont="1" applyFill="1" applyAlignment="1" applyProtection="1">
      <alignment horizontal="left" vertical="center"/>
      <protection hidden="1"/>
    </xf>
    <xf numFmtId="0" fontId="9" fillId="2" borderId="0" xfId="0" applyFont="1" applyFill="1" applyAlignment="1" applyProtection="1">
      <alignment vertical="center" wrapText="1"/>
      <protection hidden="1"/>
    </xf>
    <xf numFmtId="0" fontId="0" fillId="4" borderId="13" xfId="0" applyFill="1" applyBorder="1" applyAlignment="1" applyProtection="1">
      <alignment vertical="center" wrapText="1"/>
      <protection hidden="1"/>
    </xf>
    <xf numFmtId="0" fontId="0" fillId="2" borderId="6" xfId="0" applyFill="1" applyBorder="1" applyAlignment="1" applyProtection="1">
      <alignment vertical="center" wrapText="1"/>
      <protection hidden="1"/>
    </xf>
    <xf numFmtId="0" fontId="0" fillId="4" borderId="12" xfId="0" applyFill="1" applyBorder="1" applyAlignment="1" applyProtection="1">
      <alignment vertical="center" wrapText="1"/>
      <protection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6"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hidden="1"/>
    </xf>
    <xf numFmtId="0" fontId="0" fillId="0" borderId="7" xfId="0" applyFill="1" applyBorder="1" applyAlignment="1" applyProtection="1">
      <alignment vertical="center" wrapText="1"/>
      <protection hidden="1"/>
    </xf>
    <xf numFmtId="0" fontId="61" fillId="0" borderId="8" xfId="0" applyFont="1" applyFill="1" applyBorder="1" applyAlignment="1" applyProtection="1">
      <alignment horizontal="center" vertical="center" wrapText="1"/>
      <protection hidden="1"/>
    </xf>
    <xf numFmtId="0" fontId="61" fillId="0" borderId="10" xfId="0" applyFont="1" applyFill="1" applyBorder="1" applyAlignment="1" applyProtection="1">
      <alignment horizontal="center" vertical="center" wrapText="1"/>
      <protection hidden="1"/>
    </xf>
    <xf numFmtId="0" fontId="42" fillId="11" borderId="0" xfId="0" applyFont="1" applyFill="1" applyAlignment="1" applyProtection="1">
      <alignment horizontal="center" vertical="center"/>
      <protection hidden="1"/>
    </xf>
    <xf numFmtId="0" fontId="64" fillId="11" borderId="0" xfId="0" applyFont="1" applyFill="1" applyAlignment="1" applyProtection="1">
      <alignment horizontal="center" vertical="center"/>
      <protection hidden="1"/>
    </xf>
    <xf numFmtId="0" fontId="42" fillId="25" borderId="0" xfId="0" applyFont="1" applyFill="1" applyAlignment="1" applyProtection="1">
      <alignment horizontal="center" vertical="center"/>
      <protection hidden="1"/>
    </xf>
    <xf numFmtId="0" fontId="26" fillId="26" borderId="0" xfId="0" applyFont="1" applyFill="1" applyAlignment="1" applyProtection="1">
      <alignment horizontal="center" vertical="center"/>
      <protection hidden="1"/>
    </xf>
    <xf numFmtId="0" fontId="42" fillId="11" borderId="16" xfId="0" applyFont="1" applyFill="1" applyBorder="1" applyAlignment="1" applyProtection="1">
      <alignment vertical="center" wrapText="1"/>
      <protection hidden="1"/>
    </xf>
    <xf numFmtId="0" fontId="33" fillId="26" borderId="8" xfId="0" applyFont="1" applyFill="1" applyBorder="1" applyAlignment="1" applyProtection="1">
      <alignment horizontal="center" vertical="center" wrapText="1"/>
      <protection hidden="1"/>
    </xf>
    <xf numFmtId="0" fontId="33" fillId="26" borderId="9" xfId="0" applyFont="1" applyFill="1" applyBorder="1" applyAlignment="1" applyProtection="1">
      <alignment horizontal="center" vertical="center" wrapText="1"/>
      <protection hidden="1"/>
    </xf>
    <xf numFmtId="0" fontId="61" fillId="25" borderId="8" xfId="0" applyFont="1" applyFill="1" applyBorder="1" applyAlignment="1" applyProtection="1">
      <alignment horizontal="center" vertical="center" wrapText="1"/>
      <protection hidden="1"/>
    </xf>
    <xf numFmtId="0" fontId="61" fillId="25" borderId="9" xfId="0" applyFont="1" applyFill="1" applyBorder="1" applyAlignment="1" applyProtection="1">
      <alignment horizontal="center" vertical="center" wrapText="1"/>
      <protection hidden="1"/>
    </xf>
    <xf numFmtId="0" fontId="61" fillId="25" borderId="10" xfId="0" applyFont="1" applyFill="1" applyBorder="1" applyAlignment="1" applyProtection="1">
      <alignment horizontal="center" vertical="center" wrapText="1"/>
      <protection hidden="1"/>
    </xf>
    <xf numFmtId="0" fontId="61" fillId="25" borderId="11" xfId="0" applyFont="1" applyFill="1" applyBorder="1" applyAlignment="1" applyProtection="1">
      <alignment horizontal="center" vertical="center" wrapText="1"/>
      <protection hidden="1"/>
    </xf>
    <xf numFmtId="0" fontId="55" fillId="23" borderId="0" xfId="2" applyFont="1" applyFill="1" applyAlignment="1" applyProtection="1">
      <alignment horizontal="center" vertical="center"/>
      <protection hidden="1"/>
    </xf>
    <xf numFmtId="0" fontId="26" fillId="22" borderId="0" xfId="2" applyFont="1" applyFill="1" applyAlignment="1" applyProtection="1">
      <alignment horizontal="center" vertical="center"/>
      <protection hidden="1"/>
    </xf>
    <xf numFmtId="0" fontId="43" fillId="0" borderId="1" xfId="0" applyFont="1" applyFill="1" applyBorder="1" applyAlignment="1" applyProtection="1">
      <alignment horizontal="left" vertical="center" wrapText="1"/>
      <protection hidden="1"/>
    </xf>
    <xf numFmtId="0" fontId="42" fillId="11" borderId="0" xfId="0" applyFont="1" applyFill="1" applyAlignment="1" applyProtection="1">
      <alignment horizontal="left" vertical="center" wrapText="1"/>
      <protection hidden="1"/>
    </xf>
    <xf numFmtId="0" fontId="46" fillId="16" borderId="1" xfId="0" applyFont="1" applyFill="1" applyBorder="1" applyAlignment="1" applyProtection="1">
      <alignment horizontal="center" vertical="center" wrapText="1"/>
      <protection hidden="1"/>
    </xf>
    <xf numFmtId="0" fontId="26" fillId="21" borderId="0" xfId="0" applyFont="1" applyFill="1" applyAlignment="1" applyProtection="1">
      <alignment vertical="center" wrapText="1"/>
      <protection hidden="1"/>
    </xf>
    <xf numFmtId="0" fontId="27" fillId="21" borderId="0" xfId="0" applyFont="1" applyFill="1" applyAlignment="1" applyProtection="1">
      <alignment wrapText="1"/>
      <protection hidden="1"/>
    </xf>
    <xf numFmtId="49" fontId="26" fillId="21" borderId="0" xfId="0" applyNumberFormat="1" applyFont="1" applyFill="1" applyBorder="1" applyAlignment="1" applyProtection="1">
      <alignment horizontal="center" wrapText="1"/>
      <protection hidden="1"/>
    </xf>
    <xf numFmtId="0" fontId="27" fillId="21" borderId="0" xfId="0" applyFont="1" applyFill="1" applyAlignment="1" applyProtection="1">
      <alignment horizontal="center" vertical="top" wrapText="1"/>
      <protection hidden="1"/>
    </xf>
    <xf numFmtId="0" fontId="43" fillId="0" borderId="0" xfId="0" applyFont="1" applyProtection="1">
      <protection hidden="1"/>
    </xf>
    <xf numFmtId="1" fontId="43" fillId="12" borderId="41" xfId="0" applyNumberFormat="1" applyFont="1" applyFill="1" applyBorder="1" applyAlignment="1" applyProtection="1">
      <alignment horizontal="center" wrapText="1"/>
      <protection hidden="1"/>
    </xf>
    <xf numFmtId="1" fontId="42" fillId="12" borderId="41" xfId="0" applyNumberFormat="1" applyFont="1" applyFill="1" applyBorder="1" applyAlignment="1" applyProtection="1">
      <alignment horizontal="center" wrapText="1"/>
      <protection hidden="1"/>
    </xf>
    <xf numFmtId="1" fontId="42" fillId="14" borderId="41" xfId="0" applyNumberFormat="1" applyFont="1" applyFill="1" applyBorder="1" applyAlignment="1" applyProtection="1">
      <alignment horizontal="center"/>
      <protection locked="0"/>
    </xf>
    <xf numFmtId="1" fontId="42" fillId="13" borderId="41" xfId="0" applyNumberFormat="1" applyFont="1" applyFill="1" applyBorder="1" applyAlignment="1" applyProtection="1">
      <alignment horizontal="center"/>
      <protection locked="0"/>
    </xf>
    <xf numFmtId="1" fontId="43" fillId="0" borderId="0" xfId="0" applyNumberFormat="1" applyFont="1" applyAlignment="1" applyProtection="1">
      <alignment horizontal="center"/>
      <protection hidden="1"/>
    </xf>
    <xf numFmtId="0" fontId="42" fillId="12" borderId="41" xfId="0" applyFont="1" applyFill="1" applyBorder="1" applyAlignment="1" applyProtection="1">
      <alignment vertical="center" wrapText="1"/>
      <protection hidden="1"/>
    </xf>
    <xf numFmtId="0" fontId="43" fillId="12" borderId="41" xfId="0" applyFont="1" applyFill="1" applyBorder="1" applyAlignment="1" applyProtection="1">
      <alignment vertical="center" wrapText="1"/>
      <protection hidden="1"/>
    </xf>
    <xf numFmtId="3" fontId="43" fillId="14" borderId="41" xfId="0" applyNumberFormat="1" applyFont="1" applyFill="1" applyBorder="1" applyAlignment="1" applyProtection="1">
      <alignment vertical="center"/>
      <protection locked="0"/>
    </xf>
    <xf numFmtId="3" fontId="43" fillId="13" borderId="41" xfId="0" applyNumberFormat="1" applyFont="1" applyFill="1" applyBorder="1" applyAlignment="1" applyProtection="1">
      <alignment vertical="center"/>
      <protection locked="0"/>
    </xf>
    <xf numFmtId="0" fontId="43" fillId="0" borderId="0" xfId="0" applyFont="1" applyAlignment="1" applyProtection="1">
      <alignment vertical="center"/>
      <protection hidden="1"/>
    </xf>
    <xf numFmtId="9" fontId="43" fillId="12" borderId="41" xfId="3" applyFont="1" applyFill="1" applyBorder="1" applyAlignment="1" applyProtection="1">
      <alignment vertical="center" wrapText="1"/>
      <protection hidden="1"/>
    </xf>
    <xf numFmtId="9" fontId="43" fillId="14" borderId="41" xfId="3" applyFont="1" applyFill="1" applyBorder="1" applyAlignment="1" applyProtection="1">
      <alignment vertical="center"/>
      <protection locked="0"/>
    </xf>
    <xf numFmtId="9" fontId="43" fillId="13" borderId="41" xfId="3" applyFont="1" applyFill="1" applyBorder="1" applyAlignment="1" applyProtection="1">
      <alignment vertical="center"/>
      <protection locked="0"/>
    </xf>
    <xf numFmtId="3" fontId="43" fillId="12" borderId="41" xfId="0" applyNumberFormat="1" applyFont="1" applyFill="1" applyBorder="1" applyAlignment="1" applyProtection="1">
      <alignment vertical="center" wrapText="1"/>
      <protection hidden="1"/>
    </xf>
    <xf numFmtId="9" fontId="43" fillId="12" borderId="41" xfId="0" applyNumberFormat="1" applyFont="1" applyFill="1" applyBorder="1" applyAlignment="1" applyProtection="1">
      <alignment vertical="center" wrapText="1"/>
      <protection hidden="1"/>
    </xf>
    <xf numFmtId="0" fontId="43" fillId="0" borderId="0" xfId="0" applyFont="1" applyAlignment="1" applyProtection="1">
      <alignment vertical="center" wrapText="1"/>
      <protection locked="0"/>
    </xf>
    <xf numFmtId="0" fontId="43" fillId="0" borderId="0" xfId="0" applyFont="1" applyAlignment="1" applyProtection="1">
      <alignment vertical="center"/>
      <protection locked="0"/>
    </xf>
    <xf numFmtId="0" fontId="43" fillId="0" borderId="0" xfId="0" applyFont="1" applyAlignment="1" applyProtection="1">
      <alignment vertical="center" wrapText="1"/>
      <protection hidden="1"/>
    </xf>
    <xf numFmtId="0" fontId="43" fillId="0" borderId="0" xfId="0" applyFont="1" applyAlignment="1" applyProtection="1">
      <alignment wrapText="1"/>
      <protection hidden="1"/>
    </xf>
    <xf numFmtId="0" fontId="43" fillId="11" borderId="0" xfId="0" applyFont="1" applyFill="1" applyAlignment="1" applyProtection="1">
      <alignment horizontal="center" vertical="center" wrapText="1"/>
      <protection hidden="1"/>
    </xf>
    <xf numFmtId="0" fontId="43" fillId="11" borderId="0" xfId="0" applyFont="1" applyFill="1" applyBorder="1" applyAlignment="1" applyProtection="1">
      <alignment horizontal="center" vertical="center" wrapText="1"/>
      <protection locked="0" hidden="1"/>
    </xf>
    <xf numFmtId="0" fontId="42" fillId="11" borderId="0" xfId="0" applyFont="1" applyFill="1" applyBorder="1" applyAlignment="1" applyProtection="1">
      <alignment vertical="center" wrapText="1"/>
      <protection hidden="1"/>
    </xf>
    <xf numFmtId="0" fontId="43" fillId="11" borderId="0" xfId="0"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hidden="1"/>
    </xf>
    <xf numFmtId="0" fontId="73" fillId="0" borderId="1" xfId="0" applyFont="1" applyFill="1" applyBorder="1" applyAlignment="1" applyProtection="1">
      <alignment horizontal="center" vertical="center" wrapText="1"/>
      <protection locked="0" hidden="1"/>
    </xf>
    <xf numFmtId="0" fontId="26" fillId="16" borderId="0" xfId="0" applyFont="1" applyFill="1" applyAlignment="1" applyProtection="1">
      <alignment horizontal="center" vertical="center" wrapText="1"/>
      <protection hidden="1"/>
    </xf>
    <xf numFmtId="0" fontId="26" fillId="16" borderId="0" xfId="0" applyFont="1" applyFill="1" applyBorder="1" applyAlignment="1" applyProtection="1">
      <alignment horizontal="center" vertical="center" wrapText="1"/>
      <protection hidden="1"/>
    </xf>
    <xf numFmtId="0" fontId="51" fillId="11" borderId="0" xfId="0" applyFont="1" applyFill="1" applyAlignment="1" applyProtection="1">
      <alignment horizontal="center" vertical="center"/>
      <protection hidden="1"/>
    </xf>
    <xf numFmtId="0" fontId="26" fillId="16" borderId="0" xfId="0" applyFont="1" applyFill="1" applyBorder="1" applyAlignment="1" applyProtection="1">
      <alignment horizontal="left" vertical="center" wrapText="1"/>
      <protection hidden="1"/>
    </xf>
    <xf numFmtId="0" fontId="9" fillId="10" borderId="13" xfId="0" applyFont="1" applyFill="1" applyBorder="1" applyAlignment="1" applyProtection="1">
      <alignment horizontal="center" vertical="center" wrapText="1"/>
    </xf>
    <xf numFmtId="0" fontId="26" fillId="17" borderId="14" xfId="2" applyFont="1" applyFill="1" applyBorder="1" applyAlignment="1" applyProtection="1">
      <alignment horizontal="center" vertical="center" wrapText="1"/>
      <protection hidden="1"/>
    </xf>
    <xf numFmtId="0" fontId="6" fillId="0" borderId="13" xfId="0" applyFont="1" applyFill="1" applyBorder="1" applyAlignment="1" applyProtection="1">
      <alignment vertical="center" wrapText="1"/>
      <protection locked="0" hidden="1"/>
    </xf>
    <xf numFmtId="167" fontId="43" fillId="0" borderId="2" xfId="1" applyNumberFormat="1" applyFont="1" applyFill="1" applyBorder="1" applyProtection="1">
      <protection locked="0"/>
    </xf>
    <xf numFmtId="167" fontId="43" fillId="0" borderId="3" xfId="1" applyNumberFormat="1" applyFont="1" applyFill="1" applyBorder="1" applyProtection="1">
      <protection locked="0"/>
    </xf>
    <xf numFmtId="167" fontId="43" fillId="0" borderId="4" xfId="1" applyNumberFormat="1" applyFont="1" applyFill="1" applyBorder="1" applyProtection="1">
      <protection locked="0"/>
    </xf>
    <xf numFmtId="168" fontId="3" fillId="0" borderId="112" xfId="1" applyNumberFormat="1" applyFont="1" applyFill="1" applyBorder="1" applyAlignment="1" applyProtection="1">
      <alignment vertical="center"/>
      <protection locked="0"/>
    </xf>
    <xf numFmtId="168" fontId="3" fillId="0" borderId="113" xfId="1" applyNumberFormat="1" applyFont="1" applyFill="1" applyBorder="1" applyAlignment="1" applyProtection="1">
      <alignment vertical="center"/>
      <protection locked="0"/>
    </xf>
    <xf numFmtId="0" fontId="27" fillId="16" borderId="0" xfId="0" applyFont="1" applyFill="1" applyBorder="1" applyAlignment="1" applyProtection="1">
      <alignment vertical="center" wrapText="1"/>
      <protection hidden="1"/>
    </xf>
    <xf numFmtId="9" fontId="26" fillId="16" borderId="81" xfId="3" applyNumberFormat="1" applyFont="1" applyFill="1" applyBorder="1" applyProtection="1">
      <protection hidden="1"/>
    </xf>
    <xf numFmtId="168" fontId="43" fillId="0" borderId="2" xfId="1" applyNumberFormat="1" applyFont="1" applyFill="1" applyBorder="1" applyProtection="1">
      <protection locked="0"/>
    </xf>
    <xf numFmtId="168" fontId="43" fillId="0" borderId="3" xfId="1" applyNumberFormat="1" applyFont="1" applyFill="1" applyBorder="1" applyProtection="1">
      <protection locked="0"/>
    </xf>
    <xf numFmtId="168" fontId="43" fillId="0" borderId="4" xfId="1" applyNumberFormat="1" applyFont="1" applyFill="1" applyBorder="1" applyProtection="1">
      <protection locked="0"/>
    </xf>
    <xf numFmtId="1" fontId="27" fillId="16" borderId="83" xfId="3" applyNumberFormat="1" applyFont="1" applyFill="1" applyBorder="1" applyAlignment="1" applyProtection="1">
      <alignment vertical="center"/>
      <protection hidden="1"/>
    </xf>
    <xf numFmtId="0" fontId="48" fillId="11" borderId="0" xfId="0"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0" fontId="69" fillId="21" borderId="0" xfId="0" applyFont="1" applyFill="1" applyAlignment="1" applyProtection="1">
      <alignment vertical="center"/>
      <protection hidden="1"/>
    </xf>
    <xf numFmtId="0" fontId="70" fillId="21" borderId="0" xfId="0" applyFont="1" applyFill="1" applyAlignment="1" applyProtection="1">
      <alignment vertical="center"/>
      <protection hidden="1"/>
    </xf>
    <xf numFmtId="0" fontId="70" fillId="21" borderId="0" xfId="0" applyFont="1" applyFill="1" applyAlignment="1" applyProtection="1">
      <alignment horizontal="center" vertical="center"/>
      <protection hidden="1"/>
    </xf>
    <xf numFmtId="0" fontId="29" fillId="11" borderId="0" xfId="0" applyFont="1" applyFill="1" applyAlignment="1" applyProtection="1">
      <alignment vertical="center"/>
      <protection hidden="1"/>
    </xf>
    <xf numFmtId="0" fontId="29" fillId="11" borderId="0" xfId="0" applyFont="1" applyFill="1" applyAlignment="1" applyProtection="1">
      <alignment horizontal="center" vertical="center"/>
      <protection hidden="1"/>
    </xf>
    <xf numFmtId="0" fontId="29" fillId="11" borderId="20" xfId="0" applyFont="1" applyFill="1" applyBorder="1" applyAlignment="1" applyProtection="1">
      <alignment vertical="center"/>
      <protection hidden="1"/>
    </xf>
    <xf numFmtId="0" fontId="29" fillId="11" borderId="21" xfId="0" applyFont="1" applyFill="1" applyBorder="1" applyAlignment="1" applyProtection="1">
      <alignment vertical="center"/>
      <protection hidden="1"/>
    </xf>
    <xf numFmtId="0" fontId="29" fillId="11" borderId="21" xfId="0" applyFont="1" applyFill="1" applyBorder="1" applyAlignment="1" applyProtection="1">
      <alignment horizontal="center" vertical="center"/>
      <protection hidden="1"/>
    </xf>
    <xf numFmtId="0" fontId="29" fillId="11" borderId="22" xfId="0" applyFont="1" applyFill="1" applyBorder="1" applyAlignment="1" applyProtection="1">
      <alignment vertical="center"/>
      <protection hidden="1"/>
    </xf>
    <xf numFmtId="0" fontId="29" fillId="11" borderId="23" xfId="0" applyFont="1" applyFill="1" applyBorder="1" applyAlignment="1" applyProtection="1">
      <alignment vertical="center"/>
      <protection hidden="1"/>
    </xf>
    <xf numFmtId="0" fontId="71" fillId="16" borderId="0" xfId="0" applyFont="1" applyFill="1" applyBorder="1" applyAlignment="1" applyProtection="1">
      <alignment vertical="center"/>
      <protection hidden="1"/>
    </xf>
    <xf numFmtId="0" fontId="70" fillId="16" borderId="0" xfId="0" applyFont="1" applyFill="1" applyBorder="1" applyAlignment="1" applyProtection="1">
      <alignment vertical="center"/>
      <protection hidden="1"/>
    </xf>
    <xf numFmtId="0" fontId="70" fillId="16" borderId="0" xfId="0" applyFont="1" applyFill="1" applyBorder="1" applyAlignment="1" applyProtection="1">
      <alignment horizontal="center" vertical="center"/>
      <protection hidden="1"/>
    </xf>
    <xf numFmtId="0" fontId="29" fillId="11" borderId="24" xfId="0" applyFont="1" applyFill="1" applyBorder="1" applyAlignment="1" applyProtection="1">
      <alignment vertical="center"/>
      <protection hidden="1"/>
    </xf>
    <xf numFmtId="0" fontId="48" fillId="11" borderId="23" xfId="0" applyFont="1" applyFill="1" applyBorder="1" applyAlignment="1" applyProtection="1">
      <alignment vertical="center"/>
      <protection hidden="1"/>
    </xf>
    <xf numFmtId="0" fontId="48" fillId="11" borderId="0" xfId="0" applyFont="1" applyFill="1" applyBorder="1" applyAlignment="1" applyProtection="1">
      <alignment vertical="center"/>
      <protection hidden="1"/>
    </xf>
    <xf numFmtId="0" fontId="48" fillId="11" borderId="0" xfId="0" applyFont="1" applyFill="1" applyBorder="1" applyAlignment="1" applyProtection="1">
      <alignment horizontal="center" vertical="center"/>
      <protection hidden="1"/>
    </xf>
    <xf numFmtId="0" fontId="48" fillId="11" borderId="24" xfId="0" applyFont="1" applyFill="1" applyBorder="1" applyAlignment="1" applyProtection="1">
      <alignment vertical="center"/>
      <protection hidden="1"/>
    </xf>
    <xf numFmtId="0" fontId="26" fillId="16" borderId="82" xfId="0" applyFont="1" applyFill="1" applyBorder="1" applyAlignment="1" applyProtection="1">
      <alignment vertical="center"/>
      <protection hidden="1"/>
    </xf>
    <xf numFmtId="0" fontId="26" fillId="16" borderId="72" xfId="0" applyFont="1" applyFill="1" applyBorder="1" applyAlignment="1" applyProtection="1">
      <alignment vertical="center"/>
      <protection hidden="1"/>
    </xf>
    <xf numFmtId="165" fontId="27" fillId="16" borderId="83" xfId="3" applyNumberFormat="1" applyFont="1" applyFill="1" applyBorder="1" applyAlignment="1" applyProtection="1">
      <alignment vertical="center"/>
      <protection hidden="1"/>
    </xf>
    <xf numFmtId="165" fontId="48" fillId="0" borderId="1" xfId="3" applyNumberFormat="1" applyFont="1" applyFill="1" applyBorder="1" applyAlignment="1" applyProtection="1">
      <alignment vertical="center"/>
      <protection locked="0"/>
    </xf>
    <xf numFmtId="0" fontId="26" fillId="16" borderId="83" xfId="0" applyFont="1" applyFill="1" applyBorder="1" applyAlignment="1" applyProtection="1">
      <alignment vertical="center"/>
      <protection hidden="1"/>
    </xf>
    <xf numFmtId="1" fontId="48" fillId="0" borderId="29" xfId="3" applyNumberFormat="1" applyFont="1" applyFill="1" applyBorder="1" applyAlignment="1" applyProtection="1">
      <alignment vertical="center"/>
      <protection locked="0"/>
    </xf>
    <xf numFmtId="1" fontId="48" fillId="0" borderId="1" xfId="3" applyNumberFormat="1" applyFont="1" applyFill="1" applyBorder="1" applyAlignment="1" applyProtection="1">
      <alignment vertical="center"/>
      <protection locked="0"/>
    </xf>
    <xf numFmtId="3" fontId="48" fillId="0" borderId="1" xfId="3" applyNumberFormat="1" applyFont="1" applyFill="1" applyBorder="1" applyAlignment="1" applyProtection="1">
      <alignment vertical="center"/>
      <protection locked="0"/>
    </xf>
    <xf numFmtId="0" fontId="29" fillId="11" borderId="25" xfId="0" applyFont="1" applyFill="1" applyBorder="1" applyAlignment="1" applyProtection="1">
      <alignment vertical="center"/>
      <protection hidden="1"/>
    </xf>
    <xf numFmtId="0" fontId="29" fillId="11" borderId="26" xfId="0" applyFont="1" applyFill="1" applyBorder="1" applyAlignment="1" applyProtection="1">
      <alignment vertical="center"/>
      <protection hidden="1"/>
    </xf>
    <xf numFmtId="0" fontId="29" fillId="11" borderId="26" xfId="0" applyFont="1" applyFill="1" applyBorder="1" applyAlignment="1" applyProtection="1">
      <alignment horizontal="center" vertical="center"/>
      <protection hidden="1"/>
    </xf>
    <xf numFmtId="0" fontId="29" fillId="11" borderId="27" xfId="0" applyFont="1" applyFill="1" applyBorder="1" applyAlignment="1" applyProtection="1">
      <alignment vertical="center"/>
      <protection hidden="1"/>
    </xf>
    <xf numFmtId="3" fontId="27" fillId="16" borderId="81" xfId="3" applyNumberFormat="1" applyFont="1" applyFill="1" applyBorder="1" applyAlignment="1" applyProtection="1">
      <alignment vertical="center"/>
      <protection hidden="1"/>
    </xf>
    <xf numFmtId="49" fontId="48" fillId="11" borderId="0" xfId="0" applyNumberFormat="1" applyFont="1" applyFill="1" applyBorder="1" applyAlignment="1" applyProtection="1">
      <alignment vertical="center"/>
      <protection hidden="1"/>
    </xf>
    <xf numFmtId="0" fontId="48" fillId="11" borderId="25" xfId="0" applyFont="1" applyFill="1" applyBorder="1" applyAlignment="1" applyProtection="1">
      <alignment vertical="center"/>
      <protection hidden="1"/>
    </xf>
    <xf numFmtId="0" fontId="48" fillId="11" borderId="26" xfId="0" applyFont="1" applyFill="1" applyBorder="1" applyAlignment="1" applyProtection="1">
      <alignment vertical="center"/>
      <protection hidden="1"/>
    </xf>
    <xf numFmtId="0" fontId="48" fillId="11" borderId="26" xfId="0" applyFont="1" applyFill="1" applyBorder="1" applyAlignment="1" applyProtection="1">
      <alignment horizontal="center" vertical="center"/>
      <protection hidden="1"/>
    </xf>
    <xf numFmtId="0" fontId="48" fillId="11" borderId="27" xfId="0" applyFont="1" applyFill="1" applyBorder="1" applyAlignment="1" applyProtection="1">
      <alignment vertical="center"/>
      <protection hidden="1"/>
    </xf>
    <xf numFmtId="0" fontId="35" fillId="11" borderId="0" xfId="0" applyFont="1" applyFill="1" applyAlignment="1" applyProtection="1">
      <alignment vertical="center"/>
      <protection hidden="1"/>
    </xf>
    <xf numFmtId="0" fontId="35" fillId="11" borderId="0" xfId="0" applyFont="1" applyFill="1" applyAlignment="1" applyProtection="1">
      <alignment horizontal="center" vertical="center"/>
      <protection hidden="1"/>
    </xf>
    <xf numFmtId="0" fontId="53" fillId="11" borderId="0" xfId="0" applyFont="1" applyFill="1" applyAlignment="1" applyProtection="1">
      <alignment vertical="center"/>
      <protection hidden="1"/>
    </xf>
    <xf numFmtId="0" fontId="53" fillId="11" borderId="0" xfId="0" applyFont="1" applyFill="1" applyAlignment="1" applyProtection="1">
      <alignment horizontal="center" vertical="center"/>
      <protection hidden="1"/>
    </xf>
    <xf numFmtId="0" fontId="33" fillId="11" borderId="0" xfId="0" applyFont="1" applyFill="1" applyAlignment="1" applyProtection="1">
      <alignment vertical="center"/>
      <protection hidden="1"/>
    </xf>
    <xf numFmtId="0" fontId="33" fillId="11" borderId="0" xfId="0" applyFont="1" applyFill="1" applyAlignment="1" applyProtection="1">
      <alignment horizontal="center" vertical="center"/>
      <protection hidden="1"/>
    </xf>
    <xf numFmtId="0" fontId="75" fillId="21" borderId="0" xfId="0" applyFont="1" applyFill="1" applyAlignment="1" applyProtection="1">
      <alignment horizontal="left" vertical="center" wrapText="1"/>
      <protection hidden="1"/>
    </xf>
    <xf numFmtId="0" fontId="55" fillId="0" borderId="1" xfId="0" applyFont="1" applyFill="1" applyBorder="1" applyAlignment="1" applyProtection="1">
      <alignment horizontal="center" vertical="center" wrapText="1"/>
      <protection locked="0"/>
    </xf>
    <xf numFmtId="166" fontId="43" fillId="0" borderId="2" xfId="3" applyNumberFormat="1" applyFont="1" applyFill="1" applyBorder="1" applyAlignment="1" applyProtection="1">
      <alignment horizontal="right" vertical="center"/>
      <protection locked="0" hidden="1"/>
    </xf>
    <xf numFmtId="168" fontId="2" fillId="0" borderId="111" xfId="1" applyNumberFormat="1" applyFont="1" applyFill="1" applyBorder="1" applyAlignment="1" applyProtection="1">
      <alignment vertical="center"/>
      <protection locked="0"/>
    </xf>
    <xf numFmtId="168" fontId="2" fillId="0" borderId="112" xfId="1" applyNumberFormat="1" applyFont="1" applyFill="1" applyBorder="1" applyAlignment="1" applyProtection="1">
      <alignment vertical="center"/>
      <protection locked="0"/>
    </xf>
    <xf numFmtId="0" fontId="28" fillId="0" borderId="2" xfId="0" applyFont="1" applyFill="1" applyBorder="1" applyProtection="1">
      <protection locked="0" hidden="1"/>
    </xf>
    <xf numFmtId="0" fontId="28" fillId="0" borderId="3" xfId="0" applyFont="1" applyFill="1" applyBorder="1" applyProtection="1">
      <protection locked="0" hidden="1"/>
    </xf>
    <xf numFmtId="49" fontId="48" fillId="11" borderId="0" xfId="1" applyNumberFormat="1" applyFont="1" applyFill="1" applyBorder="1" applyAlignment="1" applyProtection="1">
      <alignment vertical="center"/>
      <protection hidden="1"/>
    </xf>
    <xf numFmtId="167"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3" fontId="43" fillId="0" borderId="1" xfId="3" applyNumberFormat="1" applyFont="1" applyFill="1" applyBorder="1" applyAlignment="1" applyProtection="1">
      <alignment horizontal="right" vertical="center"/>
      <protection locked="0" hidden="1"/>
    </xf>
    <xf numFmtId="0" fontId="43" fillId="0" borderId="2" xfId="0" applyFont="1" applyFill="1" applyBorder="1" applyProtection="1">
      <protection locked="0" hidden="1"/>
    </xf>
    <xf numFmtId="168" fontId="43" fillId="0" borderId="2" xfId="1" applyNumberFormat="1" applyFont="1" applyFill="1" applyBorder="1" applyProtection="1">
      <protection locked="0" hidden="1"/>
    </xf>
    <xf numFmtId="166" fontId="43" fillId="0" borderId="2" xfId="3" applyNumberFormat="1" applyFont="1" applyFill="1" applyBorder="1" applyProtection="1">
      <protection locked="0" hidden="1"/>
    </xf>
    <xf numFmtId="0" fontId="51" fillId="11" borderId="0" xfId="0" applyFont="1" applyFill="1" applyProtection="1">
      <protection hidden="1"/>
    </xf>
    <xf numFmtId="170" fontId="43" fillId="0" borderId="2" xfId="0" applyNumberFormat="1" applyFont="1" applyFill="1" applyBorder="1" applyProtection="1">
      <protection locked="0" hidden="1"/>
    </xf>
    <xf numFmtId="0" fontId="9" fillId="2" borderId="0" xfId="0" applyFont="1" applyFill="1" applyAlignment="1" applyProtection="1">
      <alignment horizontal="center" vertical="center" wrapText="1"/>
    </xf>
    <xf numFmtId="0" fontId="9" fillId="9" borderId="0" xfId="0" applyFont="1" applyFill="1" applyAlignment="1" applyProtection="1">
      <alignment horizontal="center" vertical="center" wrapText="1"/>
    </xf>
    <xf numFmtId="0" fontId="15" fillId="2" borderId="0" xfId="0" applyFont="1" applyFill="1" applyAlignment="1" applyProtection="1">
      <alignment horizontal="center" vertical="center" wrapText="1"/>
    </xf>
    <xf numFmtId="0" fontId="22" fillId="2" borderId="0" xfId="0" applyFont="1" applyFill="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0" borderId="13" xfId="0" applyFont="1" applyFill="1" applyBorder="1" applyAlignment="1" applyProtection="1">
      <alignment horizontal="center" vertical="center" wrapText="1"/>
    </xf>
    <xf numFmtId="0" fontId="17" fillId="10" borderId="13" xfId="0" applyFont="1" applyFill="1" applyBorder="1" applyAlignment="1" applyProtection="1">
      <alignment horizontal="center" vertical="center" wrapText="1"/>
    </xf>
    <xf numFmtId="0" fontId="22"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8" fillId="2" borderId="12" xfId="0" applyFont="1" applyFill="1" applyBorder="1" applyAlignment="1" applyProtection="1">
      <alignment vertical="center" wrapText="1"/>
    </xf>
    <xf numFmtId="0" fontId="23" fillId="0" borderId="19" xfId="0" applyFont="1" applyFill="1" applyBorder="1" applyAlignment="1" applyProtection="1">
      <alignment vertical="center" wrapText="1"/>
    </xf>
    <xf numFmtId="0" fontId="23"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3" fillId="0" borderId="12" xfId="0" applyFont="1" applyFill="1" applyBorder="1" applyAlignment="1" applyProtection="1">
      <alignment vertical="center" wrapText="1"/>
    </xf>
    <xf numFmtId="0" fontId="23" fillId="2" borderId="12" xfId="0" applyFont="1" applyFill="1" applyBorder="1" applyAlignment="1" applyProtection="1">
      <alignment vertical="center" wrapText="1"/>
    </xf>
    <xf numFmtId="0" fontId="0" fillId="2" borderId="12" xfId="0" applyFill="1" applyBorder="1" applyAlignment="1" applyProtection="1">
      <alignment wrapText="1"/>
    </xf>
    <xf numFmtId="0" fontId="6" fillId="9" borderId="12" xfId="0" applyFont="1" applyFill="1" applyBorder="1" applyAlignment="1" applyProtection="1">
      <alignment vertical="center" wrapText="1"/>
    </xf>
    <xf numFmtId="0" fontId="24" fillId="0" borderId="12" xfId="0" applyFont="1" applyFill="1" applyBorder="1" applyAlignment="1" applyProtection="1">
      <alignment vertical="center" wrapText="1"/>
    </xf>
    <xf numFmtId="0" fontId="0" fillId="3" borderId="0" xfId="0" applyFill="1" applyAlignment="1" applyProtection="1">
      <alignment vertical="center" wrapText="1"/>
    </xf>
    <xf numFmtId="0" fontId="23" fillId="0" borderId="12" xfId="0" applyFont="1" applyFill="1" applyBorder="1" applyAlignment="1" applyProtection="1">
      <alignment horizontal="left" vertical="center" wrapText="1"/>
    </xf>
    <xf numFmtId="0" fontId="23" fillId="2" borderId="12" xfId="0" applyFont="1" applyFill="1" applyBorder="1" applyAlignment="1" applyProtection="1">
      <alignment horizontal="left" vertical="center" wrapText="1"/>
    </xf>
    <xf numFmtId="0" fontId="23" fillId="0" borderId="0" xfId="0" applyFont="1" applyFill="1" applyAlignment="1" applyProtection="1">
      <alignment vertical="center" wrapText="1"/>
    </xf>
    <xf numFmtId="0" fontId="23" fillId="2" borderId="0" xfId="0" applyFont="1" applyFill="1" applyAlignment="1" applyProtection="1">
      <alignment vertical="center" wrapText="1"/>
    </xf>
    <xf numFmtId="0" fontId="6" fillId="2" borderId="12" xfId="0" applyFont="1" applyFill="1" applyBorder="1" applyAlignment="1" applyProtection="1">
      <alignment vertical="center" wrapText="1"/>
    </xf>
    <xf numFmtId="0" fontId="19"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3" fillId="0" borderId="12" xfId="2" applyFont="1" applyFill="1" applyBorder="1" applyAlignment="1" applyProtection="1">
      <alignment vertical="center" wrapText="1"/>
    </xf>
    <xf numFmtId="0" fontId="23"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10" fillId="2" borderId="12" xfId="0" applyNumberFormat="1" applyFont="1" applyFill="1" applyBorder="1" applyAlignment="1" applyProtection="1">
      <alignment vertical="center" wrapText="1"/>
    </xf>
    <xf numFmtId="0" fontId="6"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8"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6" fillId="10" borderId="12" xfId="0" applyFont="1" applyFill="1" applyBorder="1" applyAlignment="1" applyProtection="1">
      <alignment vertical="center" wrapText="1"/>
    </xf>
    <xf numFmtId="0" fontId="20" fillId="0" borderId="12" xfId="4" applyFont="1" applyFill="1" applyBorder="1" applyAlignment="1" applyProtection="1">
      <alignment vertical="center" wrapText="1"/>
    </xf>
    <xf numFmtId="0" fontId="14" fillId="2" borderId="12" xfId="0" applyFont="1" applyFill="1" applyBorder="1" applyAlignment="1" applyProtection="1">
      <alignment vertical="center" wrapText="1"/>
    </xf>
    <xf numFmtId="0" fontId="6" fillId="19" borderId="12" xfId="0" applyFont="1" applyFill="1" applyBorder="1" applyAlignment="1" applyProtection="1">
      <alignment vertical="center" wrapText="1"/>
    </xf>
    <xf numFmtId="0" fontId="16" fillId="2" borderId="12" xfId="0" applyFont="1" applyFill="1" applyBorder="1" applyAlignment="1" applyProtection="1">
      <alignment vertical="center" wrapText="1"/>
    </xf>
    <xf numFmtId="0" fontId="0" fillId="9" borderId="0" xfId="0" applyFill="1" applyAlignment="1" applyProtection="1">
      <alignment vertical="center" wrapText="1"/>
    </xf>
    <xf numFmtId="0" fontId="14" fillId="2" borderId="0" xfId="0" applyFont="1" applyFill="1" applyAlignment="1" applyProtection="1">
      <alignment vertical="center" wrapText="1"/>
    </xf>
    <xf numFmtId="0" fontId="0" fillId="0" borderId="0" xfId="0" applyFill="1" applyAlignment="1" applyProtection="1">
      <alignment vertical="center" wrapText="1"/>
    </xf>
    <xf numFmtId="0" fontId="9" fillId="9" borderId="13" xfId="0" applyFont="1" applyFill="1" applyBorder="1" applyAlignment="1" applyProtection="1">
      <alignment horizontal="center" vertical="center" wrapText="1"/>
    </xf>
    <xf numFmtId="0" fontId="0" fillId="9" borderId="12" xfId="0" applyFill="1" applyBorder="1" applyAlignment="1" applyProtection="1">
      <alignment vertical="center" wrapText="1"/>
      <protection locked="0" hidden="1"/>
    </xf>
    <xf numFmtId="0" fontId="6" fillId="9" borderId="12" xfId="0" applyFont="1" applyFill="1" applyBorder="1" applyAlignment="1" applyProtection="1">
      <alignment vertical="center" wrapText="1"/>
      <protection locked="0" hidden="1"/>
    </xf>
    <xf numFmtId="1" fontId="43" fillId="12" borderId="41" xfId="0" applyNumberFormat="1" applyFont="1" applyFill="1" applyBorder="1" applyAlignment="1" applyProtection="1">
      <alignment vertical="center" wrapText="1"/>
      <protection hidden="1"/>
    </xf>
    <xf numFmtId="0" fontId="43" fillId="12" borderId="38" xfId="0" applyFont="1" applyFill="1" applyBorder="1" applyAlignment="1" applyProtection="1">
      <alignment vertical="center" wrapText="1"/>
      <protection hidden="1"/>
    </xf>
    <xf numFmtId="2" fontId="43" fillId="12" borderId="41" xfId="0" applyNumberFormat="1" applyFont="1" applyFill="1" applyBorder="1" applyAlignment="1" applyProtection="1">
      <alignment vertical="center" wrapText="1"/>
      <protection hidden="1"/>
    </xf>
    <xf numFmtId="4" fontId="43" fillId="14" borderId="41" xfId="0" applyNumberFormat="1" applyFont="1" applyFill="1" applyBorder="1" applyAlignment="1" applyProtection="1">
      <alignment vertical="center"/>
      <protection locked="0"/>
    </xf>
    <xf numFmtId="4" fontId="43" fillId="13" borderId="41" xfId="0" applyNumberFormat="1" applyFont="1" applyFill="1" applyBorder="1" applyAlignment="1" applyProtection="1">
      <alignment vertical="center"/>
      <protection locked="0"/>
    </xf>
    <xf numFmtId="0" fontId="9" fillId="19" borderId="13" xfId="0" applyFont="1" applyFill="1" applyBorder="1" applyAlignment="1" applyProtection="1">
      <alignment horizontal="center" vertical="center" wrapText="1"/>
    </xf>
    <xf numFmtId="0" fontId="53" fillId="17" borderId="90" xfId="2" applyFont="1" applyFill="1" applyBorder="1" applyAlignment="1" applyProtection="1">
      <alignment horizontal="left" vertical="center" wrapText="1"/>
      <protection hidden="1"/>
    </xf>
    <xf numFmtId="0" fontId="53" fillId="17" borderId="91" xfId="2" applyFont="1" applyFill="1" applyBorder="1" applyAlignment="1" applyProtection="1">
      <alignment horizontal="left" vertical="center" wrapText="1"/>
      <protection hidden="1"/>
    </xf>
    <xf numFmtId="0" fontId="53" fillId="17" borderId="92" xfId="2" applyFont="1" applyFill="1" applyBorder="1" applyAlignment="1" applyProtection="1">
      <alignment horizontal="left" vertical="center" wrapText="1"/>
      <protection hidden="1"/>
    </xf>
    <xf numFmtId="0" fontId="54" fillId="16" borderId="64" xfId="0" applyFont="1" applyFill="1" applyBorder="1" applyAlignment="1" applyProtection="1">
      <alignment horizontal="left" vertical="center"/>
      <protection hidden="1"/>
    </xf>
    <xf numFmtId="0" fontId="54" fillId="16" borderId="65" xfId="0" applyFont="1" applyFill="1" applyBorder="1" applyAlignment="1" applyProtection="1">
      <alignment horizontal="left" vertical="center"/>
      <protection hidden="1"/>
    </xf>
    <xf numFmtId="0" fontId="54" fillId="16" borderId="66" xfId="0" applyFont="1" applyFill="1" applyBorder="1" applyAlignment="1" applyProtection="1">
      <alignment horizontal="left" vertical="center"/>
      <protection hidden="1"/>
    </xf>
    <xf numFmtId="0" fontId="54" fillId="16" borderId="70" xfId="0" applyFont="1" applyFill="1" applyBorder="1" applyAlignment="1" applyProtection="1">
      <alignment horizontal="left" vertical="center"/>
      <protection hidden="1"/>
    </xf>
    <xf numFmtId="0" fontId="54" fillId="16" borderId="0" xfId="0" applyFont="1" applyFill="1" applyBorder="1" applyAlignment="1" applyProtection="1">
      <alignment horizontal="left" vertical="center"/>
      <protection hidden="1"/>
    </xf>
    <xf numFmtId="0" fontId="54" fillId="16" borderId="71" xfId="0" applyFont="1" applyFill="1" applyBorder="1" applyAlignment="1" applyProtection="1">
      <alignment horizontal="left" vertical="center"/>
      <protection hidden="1"/>
    </xf>
    <xf numFmtId="0" fontId="54" fillId="16" borderId="67" xfId="0" applyFont="1" applyFill="1" applyBorder="1" applyAlignment="1" applyProtection="1">
      <alignment horizontal="left" vertical="center"/>
      <protection hidden="1"/>
    </xf>
    <xf numFmtId="0" fontId="54" fillId="16" borderId="68" xfId="0" applyFont="1" applyFill="1" applyBorder="1" applyAlignment="1" applyProtection="1">
      <alignment horizontal="left" vertical="center"/>
      <protection hidden="1"/>
    </xf>
    <xf numFmtId="0" fontId="54" fillId="16" borderId="69" xfId="0" applyFont="1" applyFill="1" applyBorder="1" applyAlignment="1" applyProtection="1">
      <alignment horizontal="left" vertical="center"/>
      <protection hidden="1"/>
    </xf>
    <xf numFmtId="0" fontId="39" fillId="15" borderId="73" xfId="0" applyFont="1" applyFill="1" applyBorder="1" applyAlignment="1" applyProtection="1">
      <alignment horizontal="center" vertical="center" textRotation="90"/>
      <protection hidden="1"/>
    </xf>
    <xf numFmtId="0" fontId="39" fillId="15" borderId="76" xfId="0" applyFont="1" applyFill="1" applyBorder="1" applyAlignment="1" applyProtection="1">
      <alignment horizontal="center" vertical="center" textRotation="90"/>
      <protection hidden="1"/>
    </xf>
    <xf numFmtId="0" fontId="39" fillId="15" borderId="78" xfId="0" applyFont="1" applyFill="1" applyBorder="1" applyAlignment="1" applyProtection="1">
      <alignment horizontal="center" vertical="center" textRotation="90"/>
      <protection hidden="1"/>
    </xf>
    <xf numFmtId="0" fontId="45" fillId="17" borderId="90" xfId="2" applyFont="1" applyFill="1" applyBorder="1" applyAlignment="1" applyProtection="1">
      <alignment horizontal="left" vertical="center" wrapText="1"/>
      <protection hidden="1"/>
    </xf>
    <xf numFmtId="0" fontId="45" fillId="17" borderId="91" xfId="2" applyFont="1" applyFill="1" applyBorder="1" applyAlignment="1" applyProtection="1">
      <alignment horizontal="left" vertical="center" wrapText="1"/>
      <protection hidden="1"/>
    </xf>
    <xf numFmtId="0" fontId="45" fillId="17" borderId="92" xfId="2" applyFont="1" applyFill="1" applyBorder="1" applyAlignment="1" applyProtection="1">
      <alignment horizontal="left" vertical="center" wrapText="1"/>
      <protection hidden="1"/>
    </xf>
    <xf numFmtId="49" fontId="30" fillId="0" borderId="81" xfId="0" applyNumberFormat="1" applyFont="1" applyFill="1" applyBorder="1" applyAlignment="1" applyProtection="1">
      <alignment horizontal="center" vertical="center" wrapText="1"/>
      <protection locked="0"/>
    </xf>
    <xf numFmtId="0" fontId="54" fillId="16" borderId="81" xfId="0" applyFont="1" applyFill="1" applyBorder="1" applyAlignment="1" applyProtection="1">
      <alignment horizontal="center" vertical="center" wrapText="1"/>
      <protection hidden="1"/>
    </xf>
    <xf numFmtId="0" fontId="37" fillId="21" borderId="0" xfId="0" applyFont="1" applyFill="1" applyAlignment="1" applyProtection="1">
      <alignment horizontal="left"/>
      <protection hidden="1"/>
    </xf>
    <xf numFmtId="0" fontId="40" fillId="0" borderId="64" xfId="0" applyFont="1" applyFill="1" applyBorder="1" applyAlignment="1" applyProtection="1">
      <alignment horizontal="center" vertical="center"/>
      <protection locked="0"/>
    </xf>
    <xf numFmtId="0" fontId="40" fillId="0" borderId="66" xfId="0" applyFont="1" applyFill="1" applyBorder="1" applyAlignment="1" applyProtection="1">
      <alignment horizontal="center" vertical="center"/>
      <protection locked="0"/>
    </xf>
    <xf numFmtId="0" fontId="40" fillId="0" borderId="70" xfId="0" applyFont="1" applyFill="1" applyBorder="1" applyAlignment="1" applyProtection="1">
      <alignment horizontal="center" vertical="center"/>
      <protection locked="0"/>
    </xf>
    <xf numFmtId="0" fontId="40" fillId="0" borderId="71" xfId="0" applyFont="1" applyFill="1" applyBorder="1" applyAlignment="1" applyProtection="1">
      <alignment horizontal="center" vertical="center"/>
      <protection locked="0"/>
    </xf>
    <xf numFmtId="0" fontId="40" fillId="0" borderId="67" xfId="0" applyFont="1" applyFill="1" applyBorder="1" applyAlignment="1" applyProtection="1">
      <alignment horizontal="center" vertical="center"/>
      <protection locked="0"/>
    </xf>
    <xf numFmtId="0" fontId="40" fillId="0" borderId="69" xfId="0" applyFont="1" applyFill="1" applyBorder="1" applyAlignment="1" applyProtection="1">
      <alignment horizontal="center" vertical="center"/>
      <protection locked="0"/>
    </xf>
    <xf numFmtId="0" fontId="54" fillId="16" borderId="64" xfId="0" applyFont="1" applyFill="1" applyBorder="1" applyAlignment="1" applyProtection="1">
      <alignment horizontal="left" vertical="center" wrapText="1"/>
      <protection hidden="1"/>
    </xf>
    <xf numFmtId="0" fontId="54" fillId="16" borderId="65" xfId="0" applyFont="1" applyFill="1" applyBorder="1" applyAlignment="1" applyProtection="1">
      <alignment horizontal="left" vertical="center" wrapText="1"/>
      <protection hidden="1"/>
    </xf>
    <xf numFmtId="0" fontId="54" fillId="16" borderId="66" xfId="0" applyFont="1" applyFill="1" applyBorder="1" applyAlignment="1" applyProtection="1">
      <alignment horizontal="left" vertical="center" wrapText="1"/>
      <protection hidden="1"/>
    </xf>
    <xf numFmtId="0" fontId="54" fillId="16" borderId="70" xfId="0" applyFont="1" applyFill="1" applyBorder="1" applyAlignment="1" applyProtection="1">
      <alignment horizontal="left" vertical="center" wrapText="1"/>
      <protection hidden="1"/>
    </xf>
    <xf numFmtId="0" fontId="54" fillId="16" borderId="0" xfId="0" applyFont="1" applyFill="1" applyBorder="1" applyAlignment="1" applyProtection="1">
      <alignment horizontal="left" vertical="center" wrapText="1"/>
      <protection hidden="1"/>
    </xf>
    <xf numFmtId="0" fontId="54" fillId="16" borderId="71" xfId="0" applyFont="1" applyFill="1" applyBorder="1" applyAlignment="1" applyProtection="1">
      <alignment horizontal="left" vertical="center" wrapText="1"/>
      <protection hidden="1"/>
    </xf>
    <xf numFmtId="0" fontId="54" fillId="16" borderId="67" xfId="0" applyFont="1" applyFill="1" applyBorder="1" applyAlignment="1" applyProtection="1">
      <alignment horizontal="left" vertical="center" wrapText="1"/>
      <protection hidden="1"/>
    </xf>
    <xf numFmtId="0" fontId="54" fillId="16" borderId="68" xfId="0" applyFont="1" applyFill="1" applyBorder="1" applyAlignment="1" applyProtection="1">
      <alignment horizontal="left" vertical="center" wrapText="1"/>
      <protection hidden="1"/>
    </xf>
    <xf numFmtId="0" fontId="54" fillId="16" borderId="69" xfId="0" applyFont="1" applyFill="1" applyBorder="1" applyAlignment="1" applyProtection="1">
      <alignment horizontal="left" vertical="center" wrapText="1"/>
      <protection hidden="1"/>
    </xf>
    <xf numFmtId="0" fontId="30" fillId="0" borderId="81" xfId="0" applyFont="1" applyFill="1" applyBorder="1" applyAlignment="1" applyProtection="1">
      <alignment horizontal="center" vertical="center" wrapText="1"/>
      <protection locked="0"/>
    </xf>
    <xf numFmtId="0" fontId="66" fillId="21" borderId="65" xfId="2" applyFont="1" applyFill="1" applyBorder="1" applyAlignment="1" applyProtection="1">
      <alignment horizontal="center" vertical="center"/>
      <protection hidden="1"/>
    </xf>
    <xf numFmtId="0" fontId="66" fillId="21" borderId="68" xfId="2" applyFont="1" applyFill="1" applyBorder="1" applyAlignment="1" applyProtection="1">
      <alignment horizontal="center" vertical="center"/>
      <protection hidden="1"/>
    </xf>
    <xf numFmtId="0" fontId="76" fillId="21" borderId="64" xfId="0" applyFont="1" applyFill="1" applyBorder="1" applyAlignment="1" applyProtection="1">
      <alignment horizontal="center" vertical="center"/>
      <protection hidden="1"/>
    </xf>
    <xf numFmtId="0" fontId="76" fillId="21" borderId="65" xfId="0" applyFont="1" applyFill="1" applyBorder="1" applyAlignment="1" applyProtection="1">
      <alignment horizontal="center" vertical="center"/>
      <protection hidden="1"/>
    </xf>
    <xf numFmtId="0" fontId="76" fillId="21" borderId="67" xfId="0" applyFont="1" applyFill="1" applyBorder="1" applyAlignment="1" applyProtection="1">
      <alignment horizontal="center" vertical="center"/>
      <protection hidden="1"/>
    </xf>
    <xf numFmtId="0" fontId="76" fillId="21" borderId="68" xfId="0" applyFont="1" applyFill="1" applyBorder="1" applyAlignment="1" applyProtection="1">
      <alignment horizontal="center" vertical="center"/>
      <protection hidden="1"/>
    </xf>
    <xf numFmtId="0" fontId="66" fillId="21" borderId="66" xfId="2" applyFont="1" applyFill="1" applyBorder="1" applyAlignment="1" applyProtection="1">
      <alignment horizontal="center" vertical="center"/>
      <protection hidden="1"/>
    </xf>
    <xf numFmtId="0" fontId="66" fillId="21" borderId="69" xfId="2" applyFont="1" applyFill="1" applyBorder="1" applyAlignment="1" applyProtection="1">
      <alignment horizontal="center" vertical="center"/>
      <protection hidden="1"/>
    </xf>
    <xf numFmtId="0" fontId="77" fillId="21" borderId="0" xfId="0" applyFont="1" applyFill="1" applyAlignment="1" applyProtection="1">
      <alignment horizontal="left" vertical="center" wrapText="1"/>
      <protection hidden="1"/>
    </xf>
    <xf numFmtId="0" fontId="77" fillId="21" borderId="0" xfId="0" applyFont="1" applyFill="1" applyAlignment="1" applyProtection="1">
      <alignment horizontal="left" vertical="center"/>
      <protection hidden="1"/>
    </xf>
    <xf numFmtId="0" fontId="74" fillId="21" borderId="0" xfId="0" applyFont="1" applyFill="1" applyBorder="1" applyAlignment="1" applyProtection="1">
      <alignment horizontal="left" vertical="center" wrapText="1"/>
      <protection hidden="1"/>
    </xf>
    <xf numFmtId="0" fontId="48" fillId="11" borderId="0" xfId="0" applyFont="1" applyFill="1" applyAlignment="1" applyProtection="1">
      <alignment horizontal="center"/>
      <protection hidden="1"/>
    </xf>
    <xf numFmtId="0" fontId="33" fillId="17" borderId="43" xfId="2" applyFont="1" applyFill="1" applyBorder="1" applyAlignment="1" applyProtection="1">
      <alignment horizontal="center" vertical="center" wrapText="1"/>
      <protection hidden="1"/>
    </xf>
    <xf numFmtId="0" fontId="33" fillId="17" borderId="44" xfId="2" applyFont="1" applyFill="1" applyBorder="1" applyAlignment="1" applyProtection="1">
      <alignment horizontal="center" vertical="center" wrapText="1"/>
      <protection hidden="1"/>
    </xf>
    <xf numFmtId="0" fontId="33" fillId="17" borderId="45" xfId="2" applyFont="1" applyFill="1" applyBorder="1" applyAlignment="1" applyProtection="1">
      <alignment horizontal="center" vertical="center" wrapText="1"/>
      <protection hidden="1"/>
    </xf>
    <xf numFmtId="0" fontId="46" fillId="21" borderId="82" xfId="0" applyFont="1" applyFill="1" applyBorder="1" applyAlignment="1" applyProtection="1">
      <alignment horizontal="center" vertical="center"/>
      <protection hidden="1"/>
    </xf>
    <xf numFmtId="0" fontId="46" fillId="21" borderId="72" xfId="0" applyFont="1" applyFill="1" applyBorder="1" applyAlignment="1" applyProtection="1">
      <alignment horizontal="center" vertical="center"/>
      <protection hidden="1"/>
    </xf>
    <xf numFmtId="0" fontId="46" fillId="21" borderId="83" xfId="0" applyFont="1" applyFill="1" applyBorder="1" applyAlignment="1" applyProtection="1">
      <alignment horizontal="center" vertical="center"/>
      <protection hidden="1"/>
    </xf>
    <xf numFmtId="0" fontId="29" fillId="11" borderId="0" xfId="0" applyFont="1" applyFill="1" applyAlignment="1" applyProtection="1">
      <alignment horizontal="center"/>
      <protection hidden="1"/>
    </xf>
    <xf numFmtId="0" fontId="42" fillId="11" borderId="0" xfId="0" applyFont="1" applyFill="1" applyAlignment="1" applyProtection="1">
      <alignment vertical="center" wrapText="1"/>
      <protection hidden="1"/>
    </xf>
    <xf numFmtId="0" fontId="43" fillId="11" borderId="0" xfId="0" applyFont="1" applyFill="1" applyAlignment="1">
      <alignment vertical="center" wrapText="1"/>
    </xf>
    <xf numFmtId="0" fontId="26" fillId="16" borderId="82" xfId="0" applyFont="1" applyFill="1" applyBorder="1" applyAlignment="1" applyProtection="1">
      <alignment horizontal="left" vertical="center" wrapText="1"/>
      <protection hidden="1"/>
    </xf>
    <xf numFmtId="0" fontId="26" fillId="16" borderId="72" xfId="0" applyFont="1" applyFill="1" applyBorder="1" applyAlignment="1" applyProtection="1">
      <alignment horizontal="left" vertical="center" wrapText="1"/>
      <protection hidden="1"/>
    </xf>
    <xf numFmtId="0" fontId="26" fillId="16" borderId="83" xfId="0" applyFont="1" applyFill="1" applyBorder="1" applyAlignment="1" applyProtection="1">
      <alignment horizontal="left" vertical="center" wrapText="1"/>
      <protection hidden="1"/>
    </xf>
    <xf numFmtId="167" fontId="43" fillId="11" borderId="0" xfId="1" applyNumberFormat="1" applyFont="1" applyFill="1" applyBorder="1" applyAlignment="1" applyProtection="1">
      <alignment horizontal="center" vertical="center"/>
      <protection hidden="1"/>
    </xf>
    <xf numFmtId="0" fontId="26" fillId="16" borderId="84" xfId="0" applyFont="1" applyFill="1" applyBorder="1" applyAlignment="1" applyProtection="1">
      <alignment horizontal="center" vertical="center" wrapText="1"/>
      <protection hidden="1"/>
    </xf>
    <xf numFmtId="0" fontId="26" fillId="16" borderId="85" xfId="0" applyFont="1" applyFill="1" applyBorder="1" applyAlignment="1" applyProtection="1">
      <alignment horizontal="center" vertical="center" wrapText="1"/>
      <protection hidden="1"/>
    </xf>
    <xf numFmtId="0" fontId="33" fillId="17" borderId="33" xfId="2" applyFont="1" applyFill="1" applyBorder="1" applyAlignment="1" applyProtection="1">
      <alignment horizontal="center" vertical="center" wrapText="1"/>
      <protection hidden="1"/>
    </xf>
    <xf numFmtId="0" fontId="33" fillId="17" borderId="17" xfId="2" applyFont="1" applyFill="1" applyBorder="1" applyAlignment="1" applyProtection="1">
      <alignment horizontal="center" vertical="center" wrapText="1"/>
      <protection hidden="1"/>
    </xf>
    <xf numFmtId="0" fontId="33" fillId="17" borderId="40" xfId="2" applyFont="1" applyFill="1" applyBorder="1" applyAlignment="1" applyProtection="1">
      <alignment horizontal="center" vertical="center" wrapText="1"/>
      <protection hidden="1"/>
    </xf>
    <xf numFmtId="0" fontId="33" fillId="17" borderId="34" xfId="2" applyFont="1" applyFill="1" applyBorder="1" applyAlignment="1" applyProtection="1">
      <alignment horizontal="center" vertical="center" wrapText="1"/>
      <protection hidden="1"/>
    </xf>
    <xf numFmtId="0" fontId="33" fillId="17" borderId="0" xfId="2" applyFont="1" applyFill="1" applyBorder="1" applyAlignment="1" applyProtection="1">
      <alignment horizontal="center" vertical="center" wrapText="1"/>
      <protection hidden="1"/>
    </xf>
    <xf numFmtId="0" fontId="33" fillId="17" borderId="30" xfId="2" applyFont="1" applyFill="1" applyBorder="1" applyAlignment="1" applyProtection="1">
      <alignment horizontal="center" vertical="center" wrapText="1"/>
      <protection hidden="1"/>
    </xf>
    <xf numFmtId="0" fontId="33" fillId="17" borderId="31" xfId="2" applyFont="1" applyFill="1" applyBorder="1" applyAlignment="1" applyProtection="1">
      <alignment horizontal="center" vertical="center" wrapText="1"/>
      <protection hidden="1"/>
    </xf>
    <xf numFmtId="0" fontId="33" fillId="17" borderId="18" xfId="2" applyFont="1" applyFill="1" applyBorder="1" applyAlignment="1" applyProtection="1">
      <alignment horizontal="center" vertical="center" wrapText="1"/>
      <protection hidden="1"/>
    </xf>
    <xf numFmtId="0" fontId="33" fillId="17" borderId="32" xfId="2" applyFont="1" applyFill="1" applyBorder="1" applyAlignment="1" applyProtection="1">
      <alignment horizontal="center" vertical="center" wrapText="1"/>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0" fontId="26" fillId="16" borderId="2" xfId="0" applyFont="1" applyFill="1" applyBorder="1" applyAlignment="1" applyProtection="1">
      <alignment horizontal="center" vertical="center" wrapText="1"/>
      <protection hidden="1"/>
    </xf>
    <xf numFmtId="0" fontId="26" fillId="16" borderId="3" xfId="0" applyFont="1" applyFill="1" applyBorder="1" applyAlignment="1" applyProtection="1">
      <alignment horizontal="center" vertical="center" wrapText="1"/>
      <protection hidden="1"/>
    </xf>
    <xf numFmtId="0" fontId="26" fillId="16" borderId="4" xfId="0" applyFont="1" applyFill="1" applyBorder="1" applyAlignment="1" applyProtection="1">
      <alignment horizontal="center" vertical="center" wrapText="1"/>
      <protection hidden="1"/>
    </xf>
    <xf numFmtId="3" fontId="1" fillId="0" borderId="2" xfId="0" applyNumberFormat="1" applyFont="1" applyFill="1" applyBorder="1" applyAlignment="1" applyProtection="1">
      <alignment horizontal="right" vertical="center"/>
      <protection locked="0" hidden="1"/>
    </xf>
    <xf numFmtId="3" fontId="1" fillId="0" borderId="3" xfId="0" applyNumberFormat="1" applyFont="1" applyFill="1" applyBorder="1" applyAlignment="1" applyProtection="1">
      <alignment horizontal="right" vertical="center"/>
      <protection locked="0" hidden="1"/>
    </xf>
    <xf numFmtId="3" fontId="1" fillId="0" borderId="4" xfId="0" applyNumberFormat="1" applyFont="1" applyFill="1" applyBorder="1" applyAlignment="1" applyProtection="1">
      <alignment horizontal="right" vertical="center"/>
      <protection locked="0" hidden="1"/>
    </xf>
    <xf numFmtId="166" fontId="43" fillId="0" borderId="2" xfId="3" applyNumberFormat="1" applyFont="1" applyFill="1" applyBorder="1" applyAlignment="1" applyProtection="1">
      <alignment horizontal="right" vertical="center"/>
      <protection locked="0" hidden="1"/>
    </xf>
    <xf numFmtId="166" fontId="43" fillId="0" borderId="4" xfId="3" applyNumberFormat="1" applyFont="1" applyFill="1" applyBorder="1" applyAlignment="1" applyProtection="1">
      <alignment horizontal="right" vertical="center"/>
      <protection locked="0" hidden="1"/>
    </xf>
    <xf numFmtId="0" fontId="26" fillId="16" borderId="87" xfId="0" applyFont="1" applyFill="1" applyBorder="1" applyAlignment="1" applyProtection="1">
      <alignment horizontal="center" vertical="center" wrapText="1"/>
      <protection hidden="1"/>
    </xf>
    <xf numFmtId="0" fontId="26" fillId="16" borderId="88" xfId="0" applyFont="1" applyFill="1" applyBorder="1" applyAlignment="1" applyProtection="1">
      <alignment horizontal="center" vertical="center" wrapText="1"/>
      <protection hidden="1"/>
    </xf>
    <xf numFmtId="0" fontId="26" fillId="16" borderId="89" xfId="0" applyFont="1" applyFill="1" applyBorder="1" applyAlignment="1" applyProtection="1">
      <alignment horizontal="center" vertical="center" wrapText="1"/>
      <protection hidden="1"/>
    </xf>
    <xf numFmtId="1" fontId="26" fillId="16" borderId="84" xfId="0" applyNumberFormat="1" applyFont="1" applyFill="1" applyBorder="1" applyAlignment="1" applyProtection="1">
      <alignment horizontal="right" vertical="center"/>
      <protection hidden="1"/>
    </xf>
    <xf numFmtId="1" fontId="26" fillId="16" borderId="86" xfId="0" applyNumberFormat="1" applyFont="1" applyFill="1" applyBorder="1" applyAlignment="1" applyProtection="1">
      <alignment horizontal="right" vertical="center"/>
      <protection hidden="1"/>
    </xf>
    <xf numFmtId="1" fontId="26" fillId="16" borderId="85" xfId="0" applyNumberFormat="1" applyFont="1" applyFill="1" applyBorder="1" applyAlignment="1" applyProtection="1">
      <alignment horizontal="right" vertical="center"/>
      <protection hidden="1"/>
    </xf>
    <xf numFmtId="9" fontId="26" fillId="16" borderId="84" xfId="3" applyNumberFormat="1" applyFont="1" applyFill="1" applyBorder="1" applyAlignment="1" applyProtection="1">
      <alignment horizontal="right" vertical="center"/>
      <protection hidden="1"/>
    </xf>
    <xf numFmtId="9" fontId="26" fillId="16" borderId="86" xfId="3" applyNumberFormat="1" applyFont="1" applyFill="1" applyBorder="1" applyAlignment="1" applyProtection="1">
      <alignment horizontal="right" vertical="center"/>
      <protection hidden="1"/>
    </xf>
    <xf numFmtId="9" fontId="26" fillId="16" borderId="85" xfId="3" applyNumberFormat="1" applyFont="1" applyFill="1" applyBorder="1" applyAlignment="1" applyProtection="1">
      <alignment horizontal="right" vertical="center"/>
      <protection hidden="1"/>
    </xf>
    <xf numFmtId="0" fontId="43" fillId="0" borderId="2" xfId="0" applyFont="1" applyFill="1" applyBorder="1" applyAlignment="1" applyProtection="1">
      <alignment horizontal="right" vertical="center"/>
      <protection locked="0" hidden="1"/>
    </xf>
    <xf numFmtId="0" fontId="43" fillId="0" borderId="3" xfId="0" applyFont="1" applyFill="1" applyBorder="1" applyAlignment="1" applyProtection="1">
      <alignment horizontal="right" vertical="center"/>
      <protection locked="0" hidden="1"/>
    </xf>
    <xf numFmtId="0" fontId="43" fillId="0" borderId="4" xfId="0" applyFont="1" applyFill="1" applyBorder="1" applyAlignment="1" applyProtection="1">
      <alignment horizontal="right" vertical="center"/>
      <protection locked="0" hidden="1"/>
    </xf>
    <xf numFmtId="3" fontId="27" fillId="16" borderId="84" xfId="0" applyNumberFormat="1" applyFont="1" applyFill="1" applyBorder="1" applyAlignment="1" applyProtection="1">
      <alignment horizontal="right" vertical="center"/>
      <protection locked="0" hidden="1"/>
    </xf>
    <xf numFmtId="3" fontId="27" fillId="16" borderId="85" xfId="0" applyNumberFormat="1" applyFont="1" applyFill="1" applyBorder="1" applyAlignment="1" applyProtection="1">
      <alignment horizontal="right" vertical="center"/>
      <protection locked="0" hidden="1"/>
    </xf>
    <xf numFmtId="166" fontId="27" fillId="16" borderId="84" xfId="3" applyNumberFormat="1" applyFont="1" applyFill="1" applyBorder="1" applyAlignment="1" applyProtection="1">
      <alignment horizontal="right" vertical="center"/>
      <protection locked="0" hidden="1"/>
    </xf>
    <xf numFmtId="166" fontId="27" fillId="16" borderId="85" xfId="3" applyNumberFormat="1" applyFont="1" applyFill="1" applyBorder="1" applyAlignment="1" applyProtection="1">
      <alignment horizontal="right" vertical="center"/>
      <protection locked="0" hidden="1"/>
    </xf>
    <xf numFmtId="0" fontId="26" fillId="16" borderId="84" xfId="0" applyFont="1" applyFill="1" applyBorder="1" applyAlignment="1" applyProtection="1">
      <alignment horizontal="left" vertical="center" wrapText="1"/>
      <protection hidden="1"/>
    </xf>
    <xf numFmtId="0" fontId="26" fillId="16" borderId="85" xfId="0" applyFont="1" applyFill="1" applyBorder="1" applyAlignment="1" applyProtection="1">
      <alignment horizontal="left" vertical="center" wrapText="1"/>
      <protection hidden="1"/>
    </xf>
    <xf numFmtId="0" fontId="26" fillId="16" borderId="64" xfId="0" applyFont="1" applyFill="1" applyBorder="1" applyAlignment="1" applyProtection="1">
      <alignment horizontal="left" vertical="center" wrapText="1"/>
      <protection hidden="1"/>
    </xf>
    <xf numFmtId="0" fontId="26" fillId="16" borderId="65"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wrapText="1"/>
      <protection hidden="1"/>
    </xf>
    <xf numFmtId="0" fontId="26" fillId="16" borderId="70" xfId="0" applyFont="1" applyFill="1" applyBorder="1" applyAlignment="1" applyProtection="1">
      <alignment horizontal="left" vertical="center" wrapText="1"/>
      <protection hidden="1"/>
    </xf>
    <xf numFmtId="0" fontId="26" fillId="16" borderId="0" xfId="0" applyFont="1" applyFill="1" applyBorder="1" applyAlignment="1" applyProtection="1">
      <alignment horizontal="left" vertical="center" wrapText="1"/>
      <protection hidden="1"/>
    </xf>
    <xf numFmtId="0" fontId="26" fillId="16" borderId="71" xfId="0" applyFont="1" applyFill="1" applyBorder="1" applyAlignment="1" applyProtection="1">
      <alignment horizontal="left" vertical="center" wrapText="1"/>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168" fontId="42" fillId="0" borderId="35" xfId="1" applyNumberFormat="1" applyFont="1" applyFill="1" applyBorder="1" applyAlignment="1" applyProtection="1">
      <alignment horizontal="center" vertical="center" wrapText="1"/>
      <protection locked="0"/>
    </xf>
    <xf numFmtId="168" fontId="42" fillId="0" borderId="16" xfId="1" applyNumberFormat="1" applyFont="1" applyFill="1" applyBorder="1" applyAlignment="1" applyProtection="1">
      <alignment horizontal="center" vertical="center" wrapText="1"/>
      <protection locked="0"/>
    </xf>
    <xf numFmtId="168" fontId="42" fillId="0" borderId="36" xfId="1" applyNumberFormat="1" applyFont="1" applyFill="1" applyBorder="1" applyAlignment="1" applyProtection="1">
      <alignment horizontal="center" vertical="center" wrapText="1"/>
      <protection locked="0"/>
    </xf>
    <xf numFmtId="168" fontId="42" fillId="0" borderId="37" xfId="1" applyNumberFormat="1" applyFont="1" applyFill="1" applyBorder="1" applyAlignment="1" applyProtection="1">
      <alignment horizontal="center" vertical="center" wrapText="1"/>
      <protection locked="0"/>
    </xf>
    <xf numFmtId="168" fontId="42" fillId="0" borderId="38" xfId="1" applyNumberFormat="1" applyFont="1" applyFill="1" applyBorder="1" applyAlignment="1" applyProtection="1">
      <alignment horizontal="center" vertical="center" wrapText="1"/>
      <protection locked="0"/>
    </xf>
    <xf numFmtId="168" fontId="42" fillId="0" borderId="39" xfId="1" applyNumberFormat="1" applyFont="1" applyFill="1" applyBorder="1" applyAlignment="1" applyProtection="1">
      <alignment horizontal="center" vertical="center" wrapText="1"/>
      <protection locked="0"/>
    </xf>
    <xf numFmtId="168" fontId="5" fillId="0" borderId="0" xfId="1" applyNumberFormat="1" applyFont="1" applyFill="1" applyBorder="1" applyAlignment="1" applyProtection="1">
      <alignment horizontal="center" vertical="center"/>
      <protection locked="0"/>
    </xf>
    <xf numFmtId="168" fontId="26" fillId="16" borderId="82" xfId="1" applyNumberFormat="1" applyFont="1" applyFill="1" applyBorder="1" applyAlignment="1" applyProtection="1">
      <alignment horizontal="center" vertical="center"/>
      <protection hidden="1"/>
    </xf>
    <xf numFmtId="168" fontId="26" fillId="16" borderId="72" xfId="1" applyNumberFormat="1" applyFont="1" applyFill="1" applyBorder="1" applyAlignment="1" applyProtection="1">
      <alignment horizontal="center" vertical="center"/>
      <protection hidden="1"/>
    </xf>
    <xf numFmtId="168" fontId="26" fillId="16" borderId="83" xfId="1" applyNumberFormat="1" applyFont="1" applyFill="1" applyBorder="1" applyAlignment="1" applyProtection="1">
      <alignment horizontal="center" vertical="center"/>
      <protection hidden="1"/>
    </xf>
    <xf numFmtId="0" fontId="27" fillId="16" borderId="0" xfId="0" applyFont="1" applyFill="1" applyBorder="1" applyAlignment="1" applyProtection="1">
      <alignment horizontal="left" vertical="center" wrapText="1"/>
      <protection hidden="1"/>
    </xf>
    <xf numFmtId="0" fontId="26" fillId="16" borderId="82" xfId="0" applyFont="1" applyFill="1" applyBorder="1" applyAlignment="1" applyProtection="1">
      <alignment horizontal="center" vertical="center" wrapText="1"/>
      <protection hidden="1"/>
    </xf>
    <xf numFmtId="0" fontId="26" fillId="16" borderId="72" xfId="0" applyFont="1" applyFill="1" applyBorder="1" applyAlignment="1" applyProtection="1">
      <alignment horizontal="center" vertical="center" wrapText="1"/>
      <protection hidden="1"/>
    </xf>
    <xf numFmtId="0" fontId="26" fillId="16" borderId="83" xfId="0" applyFont="1" applyFill="1" applyBorder="1" applyAlignment="1" applyProtection="1">
      <alignment horizontal="center" vertical="center" wrapText="1"/>
      <protection hidden="1"/>
    </xf>
    <xf numFmtId="164" fontId="43" fillId="0" borderId="28" xfId="1" applyFont="1" applyFill="1" applyBorder="1" applyAlignment="1" applyProtection="1">
      <alignment horizontal="center" vertical="center"/>
      <protection locked="0" hidden="1"/>
    </xf>
    <xf numFmtId="164" fontId="43" fillId="0" borderId="41" xfId="1" applyFont="1" applyFill="1" applyBorder="1" applyAlignment="1" applyProtection="1">
      <alignment horizontal="center" vertical="center"/>
      <protection locked="0" hidden="1"/>
    </xf>
    <xf numFmtId="164" fontId="43" fillId="0" borderId="29" xfId="1" applyFont="1" applyFill="1" applyBorder="1" applyAlignment="1" applyProtection="1">
      <alignment horizontal="center" vertical="center"/>
      <protection locked="0" hidden="1"/>
    </xf>
    <xf numFmtId="0" fontId="51" fillId="11" borderId="0" xfId="0" applyFont="1" applyFill="1" applyAlignment="1" applyProtection="1">
      <alignment horizontal="center" vertical="center"/>
      <protection hidden="1"/>
    </xf>
    <xf numFmtId="0" fontId="26" fillId="16" borderId="64" xfId="0" applyFont="1" applyFill="1" applyBorder="1" applyAlignment="1" applyProtection="1">
      <alignment horizontal="left" vertical="center"/>
      <protection hidden="1"/>
    </xf>
    <xf numFmtId="0" fontId="26" fillId="16" borderId="65" xfId="0" applyFont="1" applyFill="1" applyBorder="1" applyAlignment="1" applyProtection="1">
      <alignment horizontal="left" vertical="center"/>
      <protection hidden="1"/>
    </xf>
    <xf numFmtId="168" fontId="26" fillId="16" borderId="64" xfId="1" applyNumberFormat="1" applyFont="1" applyFill="1" applyBorder="1" applyAlignment="1" applyProtection="1">
      <alignment horizontal="center" vertical="center"/>
      <protection hidden="1"/>
    </xf>
    <xf numFmtId="168" fontId="26" fillId="16" borderId="65" xfId="1" applyNumberFormat="1" applyFont="1" applyFill="1" applyBorder="1" applyAlignment="1" applyProtection="1">
      <alignment horizontal="center" vertical="center"/>
      <protection hidden="1"/>
    </xf>
    <xf numFmtId="168" fontId="26" fillId="16" borderId="66" xfId="1" applyNumberFormat="1" applyFont="1" applyFill="1" applyBorder="1" applyAlignment="1" applyProtection="1">
      <alignment horizontal="center" vertical="center"/>
      <protection hidden="1"/>
    </xf>
    <xf numFmtId="168" fontId="26" fillId="16" borderId="70" xfId="1" applyNumberFormat="1" applyFont="1" applyFill="1" applyBorder="1" applyAlignment="1" applyProtection="1">
      <alignment horizontal="center" vertical="center"/>
      <protection hidden="1"/>
    </xf>
    <xf numFmtId="168" fontId="26" fillId="16" borderId="0" xfId="1" applyNumberFormat="1" applyFont="1" applyFill="1" applyBorder="1" applyAlignment="1" applyProtection="1">
      <alignment horizontal="center" vertical="center"/>
      <protection hidden="1"/>
    </xf>
    <xf numFmtId="168" fontId="26" fillId="16" borderId="71" xfId="1" applyNumberFormat="1" applyFont="1" applyFill="1" applyBorder="1" applyAlignment="1" applyProtection="1">
      <alignment horizontal="center" vertical="center"/>
      <protection hidden="1"/>
    </xf>
    <xf numFmtId="168" fontId="26" fillId="16" borderId="67" xfId="1" applyNumberFormat="1" applyFont="1" applyFill="1" applyBorder="1" applyAlignment="1" applyProtection="1">
      <alignment horizontal="center" vertical="center"/>
      <protection hidden="1"/>
    </xf>
    <xf numFmtId="168" fontId="26" fillId="16" borderId="68" xfId="1" applyNumberFormat="1" applyFont="1" applyFill="1" applyBorder="1" applyAlignment="1" applyProtection="1">
      <alignment horizontal="center" vertical="center"/>
      <protection hidden="1"/>
    </xf>
    <xf numFmtId="168" fontId="26" fillId="16" borderId="69" xfId="1" applyNumberFormat="1" applyFont="1" applyFill="1" applyBorder="1" applyAlignment="1" applyProtection="1">
      <alignment horizontal="center" vertical="center"/>
      <protection hidden="1"/>
    </xf>
    <xf numFmtId="168" fontId="27" fillId="16" borderId="0" xfId="1" applyNumberFormat="1" applyFont="1" applyFill="1" applyBorder="1" applyAlignment="1" applyProtection="1">
      <alignment horizontal="right" vertical="center"/>
      <protection hidden="1"/>
    </xf>
    <xf numFmtId="0" fontId="44" fillId="19" borderId="93" xfId="2" applyFont="1" applyFill="1" applyBorder="1" applyAlignment="1" applyProtection="1">
      <alignment horizontal="center" vertical="center"/>
      <protection hidden="1"/>
    </xf>
    <xf numFmtId="0" fontId="44" fillId="19" borderId="0" xfId="2" applyFont="1" applyFill="1" applyBorder="1" applyAlignment="1" applyProtection="1">
      <alignment horizontal="center" vertical="center"/>
      <protection hidden="1"/>
    </xf>
    <xf numFmtId="0" fontId="44" fillId="19" borderId="17" xfId="2" applyFont="1" applyFill="1" applyBorder="1" applyAlignment="1" applyProtection="1">
      <alignment horizontal="center" vertical="center"/>
      <protection hidden="1"/>
    </xf>
    <xf numFmtId="0" fontId="44" fillId="19" borderId="94" xfId="2" applyFont="1" applyFill="1" applyBorder="1" applyAlignment="1" applyProtection="1">
      <alignment horizontal="center" vertical="center"/>
      <protection hidden="1"/>
    </xf>
    <xf numFmtId="0" fontId="44" fillId="19" borderId="95" xfId="2" applyFont="1" applyFill="1" applyBorder="1" applyAlignment="1" applyProtection="1">
      <alignment horizontal="center" vertical="center"/>
      <protection hidden="1"/>
    </xf>
    <xf numFmtId="0" fontId="44" fillId="19" borderId="18" xfId="2" applyFont="1" applyFill="1" applyBorder="1" applyAlignment="1" applyProtection="1">
      <alignment horizontal="center" vertical="center"/>
      <protection hidden="1"/>
    </xf>
    <xf numFmtId="0" fontId="44" fillId="19" borderId="96" xfId="2" applyFont="1" applyFill="1" applyBorder="1" applyAlignment="1" applyProtection="1">
      <alignment horizontal="center" vertical="center"/>
      <protection hidden="1"/>
    </xf>
    <xf numFmtId="0" fontId="4" fillId="11" borderId="37" xfId="0" applyFont="1" applyFill="1" applyBorder="1" applyAlignment="1" applyProtection="1">
      <alignment horizontal="right" vertical="center"/>
      <protection hidden="1"/>
    </xf>
    <xf numFmtId="0" fontId="4" fillId="11" borderId="38" xfId="0" applyFont="1" applyFill="1" applyBorder="1" applyAlignment="1" applyProtection="1">
      <alignment horizontal="right" vertical="center"/>
      <protection hidden="1"/>
    </xf>
    <xf numFmtId="0" fontId="4" fillId="11" borderId="38" xfId="0" applyFont="1" applyFill="1" applyBorder="1" applyAlignment="1" applyProtection="1">
      <alignment horizontal="center" vertical="center"/>
      <protection hidden="1"/>
    </xf>
    <xf numFmtId="0" fontId="4" fillId="11" borderId="39" xfId="0"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center"/>
      <protection hidden="1"/>
    </xf>
    <xf numFmtId="3" fontId="55" fillId="11" borderId="0" xfId="0" applyNumberFormat="1" applyFont="1" applyFill="1" applyBorder="1" applyAlignment="1" applyProtection="1">
      <alignment horizontal="right" vertical="center"/>
      <protection hidden="1"/>
    </xf>
    <xf numFmtId="0" fontId="55" fillId="11" borderId="0" xfId="0" applyFont="1" applyFill="1" applyBorder="1" applyAlignment="1" applyProtection="1">
      <alignment horizontal="left" vertical="center"/>
      <protection hidden="1"/>
    </xf>
    <xf numFmtId="0" fontId="55" fillId="11" borderId="42"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vertical="center"/>
      <protection hidden="1"/>
    </xf>
    <xf numFmtId="0" fontId="55" fillId="11" borderId="0" xfId="0" applyFont="1" applyFill="1" applyBorder="1" applyAlignment="1" applyProtection="1">
      <alignment horizontal="center" vertical="center"/>
      <protection hidden="1"/>
    </xf>
    <xf numFmtId="0" fontId="55" fillId="11" borderId="42" xfId="0" applyFont="1" applyFill="1" applyBorder="1" applyAlignment="1" applyProtection="1">
      <alignment horizontal="center" vertical="center"/>
      <protection hidden="1"/>
    </xf>
    <xf numFmtId="0" fontId="55" fillId="11" borderId="103"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wrapText="1"/>
      <protection hidden="1"/>
    </xf>
    <xf numFmtId="0" fontId="55" fillId="11" borderId="0" xfId="0" applyFont="1" applyFill="1" applyBorder="1" applyAlignment="1" applyProtection="1">
      <alignment horizontal="center" wrapText="1"/>
      <protection hidden="1"/>
    </xf>
    <xf numFmtId="0" fontId="55" fillId="11" borderId="42" xfId="0" applyFont="1" applyFill="1" applyBorder="1" applyAlignment="1" applyProtection="1">
      <alignment horizontal="center" wrapText="1"/>
      <protection hidden="1"/>
    </xf>
    <xf numFmtId="0" fontId="55" fillId="11" borderId="103" xfId="0" applyFont="1" applyFill="1" applyBorder="1" applyAlignment="1" applyProtection="1">
      <alignment horizontal="center" wrapText="1"/>
      <protection hidden="1"/>
    </xf>
    <xf numFmtId="0" fontId="55" fillId="11" borderId="15" xfId="0" applyFont="1" applyFill="1" applyBorder="1" applyAlignment="1" applyProtection="1">
      <alignment horizontal="center" vertical="center" wrapText="1"/>
      <protection hidden="1"/>
    </xf>
    <xf numFmtId="0" fontId="55" fillId="11" borderId="0" xfId="0" applyFont="1" applyFill="1" applyBorder="1" applyAlignment="1" applyProtection="1">
      <alignment horizontal="center" vertical="center" wrapText="1"/>
      <protection hidden="1"/>
    </xf>
    <xf numFmtId="0" fontId="55" fillId="11" borderId="42" xfId="0" applyFont="1" applyFill="1" applyBorder="1" applyAlignment="1" applyProtection="1">
      <alignment horizontal="center" vertical="center" wrapText="1"/>
      <protection hidden="1"/>
    </xf>
    <xf numFmtId="0" fontId="4" fillId="11" borderId="15" xfId="0" applyFont="1" applyFill="1" applyBorder="1" applyAlignment="1" applyProtection="1">
      <alignment horizontal="center" vertical="center"/>
      <protection hidden="1"/>
    </xf>
    <xf numFmtId="0" fontId="4" fillId="11" borderId="0" xfId="0" applyFont="1" applyFill="1" applyBorder="1" applyAlignment="1" applyProtection="1">
      <alignment horizontal="center" vertical="center"/>
      <protection hidden="1"/>
    </xf>
    <xf numFmtId="0" fontId="4" fillId="11" borderId="42" xfId="0" applyFont="1" applyFill="1" applyBorder="1" applyAlignment="1" applyProtection="1">
      <alignment horizontal="center" vertical="center"/>
      <protection hidden="1"/>
    </xf>
    <xf numFmtId="166" fontId="4" fillId="11" borderId="15"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top"/>
      <protection hidden="1"/>
    </xf>
    <xf numFmtId="3" fontId="55" fillId="11" borderId="0" xfId="0" applyNumberFormat="1" applyFont="1" applyFill="1" applyBorder="1" applyAlignment="1" applyProtection="1">
      <alignment horizontal="right" vertical="top"/>
      <protection hidden="1"/>
    </xf>
    <xf numFmtId="0" fontId="55" fillId="18" borderId="15" xfId="0" applyFont="1" applyFill="1" applyBorder="1" applyAlignment="1" applyProtection="1">
      <alignment horizontal="center" vertical="center" wrapText="1"/>
      <protection hidden="1"/>
    </xf>
    <xf numFmtId="0" fontId="4" fillId="18" borderId="0" xfId="0" applyFont="1" applyFill="1" applyBorder="1" applyAlignment="1">
      <alignment vertical="center" wrapText="1"/>
    </xf>
    <xf numFmtId="0" fontId="4" fillId="18" borderId="42" xfId="0" applyFont="1" applyFill="1" applyBorder="1" applyAlignment="1">
      <alignment vertical="center" wrapText="1"/>
    </xf>
    <xf numFmtId="0" fontId="4" fillId="18" borderId="15" xfId="0" applyFont="1" applyFill="1" applyBorder="1" applyAlignment="1">
      <alignment vertical="center" wrapText="1"/>
    </xf>
    <xf numFmtId="0" fontId="55" fillId="18" borderId="15" xfId="0" applyFont="1" applyFill="1" applyBorder="1" applyAlignment="1" applyProtection="1">
      <alignment horizontal="center" vertical="center"/>
      <protection hidden="1"/>
    </xf>
    <xf numFmtId="0" fontId="55" fillId="18" borderId="0" xfId="0" applyFont="1" applyFill="1" applyBorder="1" applyAlignment="1" applyProtection="1">
      <alignment horizontal="center" vertical="center"/>
      <protection hidden="1"/>
    </xf>
    <xf numFmtId="0" fontId="55" fillId="18" borderId="42" xfId="0" applyFont="1" applyFill="1" applyBorder="1" applyAlignment="1" applyProtection="1">
      <alignment horizontal="center" vertical="center"/>
      <protection hidden="1"/>
    </xf>
    <xf numFmtId="0" fontId="4" fillId="11" borderId="15" xfId="0" applyFont="1" applyFill="1" applyBorder="1" applyAlignment="1" applyProtection="1">
      <alignment horizontal="center" vertical="center" wrapText="1"/>
      <protection hidden="1"/>
    </xf>
    <xf numFmtId="0" fontId="4" fillId="11" borderId="0" xfId="0" applyFont="1" applyFill="1" applyBorder="1" applyAlignment="1" applyProtection="1">
      <alignment horizontal="center" vertical="center" wrapText="1"/>
      <protection hidden="1"/>
    </xf>
    <xf numFmtId="0" fontId="4" fillId="11" borderId="42" xfId="0" applyFont="1" applyFill="1" applyBorder="1" applyAlignment="1" applyProtection="1">
      <alignment horizontal="center" vertical="center" wrapText="1"/>
      <protection hidden="1"/>
    </xf>
    <xf numFmtId="3" fontId="55" fillId="18" borderId="15" xfId="0" applyNumberFormat="1" applyFont="1" applyFill="1" applyBorder="1" applyAlignment="1" applyProtection="1">
      <alignment horizontal="right" vertical="center"/>
      <protection hidden="1"/>
    </xf>
    <xf numFmtId="3" fontId="55" fillId="18" borderId="0" xfId="0" applyNumberFormat="1" applyFont="1" applyFill="1" applyBorder="1" applyAlignment="1" applyProtection="1">
      <alignment horizontal="right" vertical="center"/>
      <protection hidden="1"/>
    </xf>
    <xf numFmtId="0" fontId="55" fillId="18" borderId="0" xfId="0" applyFont="1" applyFill="1" applyBorder="1" applyAlignment="1" applyProtection="1">
      <alignment horizontal="left" vertical="center"/>
      <protection hidden="1"/>
    </xf>
    <xf numFmtId="0" fontId="55" fillId="18" borderId="42" xfId="0" applyFont="1" applyFill="1" applyBorder="1" applyAlignment="1" applyProtection="1">
      <alignment horizontal="left" vertical="center"/>
      <protection hidden="1"/>
    </xf>
    <xf numFmtId="166" fontId="4" fillId="11" borderId="102" xfId="3" applyNumberFormat="1" applyFont="1" applyFill="1" applyBorder="1" applyAlignment="1" applyProtection="1">
      <alignment horizontal="center" vertical="center"/>
      <protection hidden="1"/>
    </xf>
    <xf numFmtId="0" fontId="4" fillId="18" borderId="15" xfId="0" applyFont="1" applyFill="1" applyBorder="1" applyAlignment="1" applyProtection="1">
      <alignment horizontal="right" vertical="center"/>
      <protection hidden="1"/>
    </xf>
    <xf numFmtId="0" fontId="4" fillId="18" borderId="0" xfId="0" applyFont="1" applyFill="1" applyBorder="1" applyAlignment="1" applyProtection="1">
      <alignment horizontal="right" vertical="center"/>
      <protection hidden="1"/>
    </xf>
    <xf numFmtId="0" fontId="4" fillId="18" borderId="0" xfId="0" applyFont="1" applyFill="1" applyBorder="1" applyAlignment="1" applyProtection="1">
      <alignment horizontal="center" vertical="center"/>
      <protection hidden="1"/>
    </xf>
    <xf numFmtId="0" fontId="4" fillId="18" borderId="42" xfId="0" applyFont="1" applyFill="1" applyBorder="1" applyAlignment="1" applyProtection="1">
      <alignment horizontal="center" vertical="center"/>
      <protection hidden="1"/>
    </xf>
    <xf numFmtId="0" fontId="4" fillId="18" borderId="37" xfId="0" applyFont="1" applyFill="1" applyBorder="1" applyAlignment="1" applyProtection="1">
      <alignment horizontal="right" vertical="center"/>
      <protection hidden="1"/>
    </xf>
    <xf numFmtId="0" fontId="4" fillId="18" borderId="38" xfId="0" applyFont="1" applyFill="1" applyBorder="1" applyAlignment="1" applyProtection="1">
      <alignment horizontal="right" vertical="center"/>
      <protection hidden="1"/>
    </xf>
    <xf numFmtId="0" fontId="4" fillId="18" borderId="38" xfId="0" applyFont="1" applyFill="1" applyBorder="1" applyAlignment="1" applyProtection="1">
      <alignment horizontal="center" vertical="center"/>
      <protection hidden="1"/>
    </xf>
    <xf numFmtId="0" fontId="4" fillId="18" borderId="39" xfId="0" applyFont="1" applyFill="1" applyBorder="1" applyAlignment="1" applyProtection="1">
      <alignment horizontal="center" vertical="center"/>
      <protection hidden="1"/>
    </xf>
    <xf numFmtId="0" fontId="55" fillId="11" borderId="102" xfId="0" applyFont="1" applyFill="1" applyBorder="1" applyAlignment="1" applyProtection="1">
      <alignment horizontal="center" wrapText="1"/>
      <protection hidden="1"/>
    </xf>
    <xf numFmtId="0" fontId="4" fillId="18" borderId="15" xfId="0" applyFont="1" applyFill="1" applyBorder="1" applyAlignment="1" applyProtection="1">
      <alignment horizontal="center" wrapText="1"/>
      <protection hidden="1"/>
    </xf>
    <xf numFmtId="0" fontId="4" fillId="18" borderId="0" xfId="0" applyFont="1" applyFill="1" applyBorder="1" applyAlignment="1" applyProtection="1">
      <alignment horizontal="center" wrapText="1"/>
      <protection hidden="1"/>
    </xf>
    <xf numFmtId="0" fontId="4" fillId="18" borderId="42" xfId="0" applyFont="1" applyFill="1" applyBorder="1" applyAlignment="1" applyProtection="1">
      <alignment horizontal="center" wrapText="1"/>
      <protection hidden="1"/>
    </xf>
    <xf numFmtId="3" fontId="55" fillId="11" borderId="102" xfId="0" applyNumberFormat="1" applyFont="1" applyFill="1" applyBorder="1" applyAlignment="1" applyProtection="1">
      <alignment horizontal="right" vertical="center"/>
      <protection hidden="1"/>
    </xf>
    <xf numFmtId="0" fontId="4" fillId="11" borderId="102" xfId="0" applyFont="1" applyFill="1" applyBorder="1" applyAlignment="1" applyProtection="1">
      <alignment horizontal="center" vertical="center" wrapText="1"/>
      <protection hidden="1"/>
    </xf>
    <xf numFmtId="166" fontId="4" fillId="18" borderId="15" xfId="3" applyNumberFormat="1" applyFont="1" applyFill="1" applyBorder="1" applyAlignment="1" applyProtection="1">
      <alignment horizontal="center" vertical="center"/>
      <protection hidden="1"/>
    </xf>
    <xf numFmtId="166" fontId="4" fillId="18" borderId="0" xfId="3" applyNumberFormat="1" applyFont="1" applyFill="1" applyBorder="1" applyAlignment="1" applyProtection="1">
      <alignment horizontal="center" vertical="center"/>
      <protection hidden="1"/>
    </xf>
    <xf numFmtId="166" fontId="4" fillId="18" borderId="42" xfId="3" applyNumberFormat="1" applyFont="1" applyFill="1" applyBorder="1" applyAlignment="1" applyProtection="1">
      <alignment horizontal="center" vertical="center"/>
      <protection hidden="1"/>
    </xf>
    <xf numFmtId="166" fontId="4" fillId="18" borderId="0" xfId="3" applyNumberFormat="1" applyFont="1" applyFill="1" applyBorder="1" applyAlignment="1" applyProtection="1">
      <alignment horizontal="left" vertical="center"/>
      <protection hidden="1"/>
    </xf>
    <xf numFmtId="166" fontId="4" fillId="18" borderId="42" xfId="3" applyNumberFormat="1" applyFont="1" applyFill="1" applyBorder="1" applyAlignment="1" applyProtection="1">
      <alignment horizontal="left" vertical="center"/>
      <protection hidden="1"/>
    </xf>
    <xf numFmtId="0" fontId="55" fillId="18" borderId="15" xfId="0" applyFont="1" applyFill="1" applyBorder="1" applyAlignment="1" applyProtection="1">
      <alignment horizontal="center" wrapText="1"/>
      <protection hidden="1"/>
    </xf>
    <xf numFmtId="0" fontId="55" fillId="18" borderId="0" xfId="0" applyFont="1" applyFill="1" applyBorder="1" applyAlignment="1" applyProtection="1">
      <alignment horizontal="center" wrapText="1"/>
      <protection hidden="1"/>
    </xf>
    <xf numFmtId="0" fontId="55" fillId="18" borderId="42" xfId="0" applyFont="1" applyFill="1" applyBorder="1" applyAlignment="1" applyProtection="1">
      <alignment horizontal="center" wrapText="1"/>
      <protection hidden="1"/>
    </xf>
    <xf numFmtId="0" fontId="55" fillId="18" borderId="0" xfId="0" applyFont="1" applyFill="1" applyBorder="1" applyAlignment="1" applyProtection="1">
      <alignment horizontal="center" vertical="center" wrapText="1"/>
      <protection hidden="1"/>
    </xf>
    <xf numFmtId="0" fontId="55" fillId="18" borderId="42" xfId="0" applyFont="1" applyFill="1" applyBorder="1" applyAlignment="1" applyProtection="1">
      <alignment horizontal="center" vertical="center" wrapText="1"/>
      <protection hidden="1"/>
    </xf>
    <xf numFmtId="0" fontId="55" fillId="18" borderId="103" xfId="0" applyFont="1" applyFill="1" applyBorder="1" applyAlignment="1" applyProtection="1">
      <alignment horizontal="left" vertical="center"/>
      <protection hidden="1"/>
    </xf>
    <xf numFmtId="0" fontId="4" fillId="18" borderId="15"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wrapText="1"/>
      <protection hidden="1"/>
    </xf>
    <xf numFmtId="0" fontId="4" fillId="18" borderId="103" xfId="0" applyFont="1" applyFill="1" applyBorder="1" applyAlignment="1" applyProtection="1">
      <alignment horizontal="center" vertical="center" wrapText="1"/>
      <protection hidden="1"/>
    </xf>
    <xf numFmtId="166" fontId="4" fillId="18" borderId="103" xfId="3" applyNumberFormat="1" applyFont="1" applyFill="1" applyBorder="1" applyAlignment="1" applyProtection="1">
      <alignment horizontal="center" vertical="center"/>
      <protection hidden="1"/>
    </xf>
    <xf numFmtId="166" fontId="4" fillId="18" borderId="107" xfId="3" applyNumberFormat="1" applyFont="1" applyFill="1" applyBorder="1" applyAlignment="1" applyProtection="1">
      <alignment horizontal="left" vertical="center"/>
      <protection hidden="1"/>
    </xf>
    <xf numFmtId="166" fontId="4" fillId="18" borderId="108" xfId="3" applyNumberFormat="1" applyFont="1" applyFill="1" applyBorder="1" applyAlignment="1" applyProtection="1">
      <alignment horizontal="left" vertical="center"/>
      <protection hidden="1"/>
    </xf>
    <xf numFmtId="0" fontId="41" fillId="19" borderId="107" xfId="0" applyFont="1" applyFill="1" applyBorder="1" applyAlignment="1" applyProtection="1">
      <alignment horizontal="center" vertical="center"/>
      <protection hidden="1"/>
    </xf>
    <xf numFmtId="3" fontId="55" fillId="18" borderId="15" xfId="0" applyNumberFormat="1" applyFont="1" applyFill="1" applyBorder="1" applyAlignment="1" applyProtection="1">
      <alignment horizontal="right" vertical="center" wrapText="1"/>
      <protection hidden="1"/>
    </xf>
    <xf numFmtId="3" fontId="55" fillId="18" borderId="0" xfId="0" applyNumberFormat="1" applyFont="1" applyFill="1" applyBorder="1" applyAlignment="1" applyProtection="1">
      <alignment horizontal="right" vertical="center" wrapText="1"/>
      <protection hidden="1"/>
    </xf>
    <xf numFmtId="0" fontId="55" fillId="18" borderId="0" xfId="0" applyFont="1" applyFill="1" applyBorder="1" applyAlignment="1" applyProtection="1">
      <alignment horizontal="left" vertical="center" wrapText="1"/>
      <protection hidden="1"/>
    </xf>
    <xf numFmtId="0" fontId="55" fillId="18" borderId="42" xfId="0" applyFont="1" applyFill="1" applyBorder="1" applyAlignment="1" applyProtection="1">
      <alignment horizontal="left" vertical="center" wrapText="1"/>
      <protection hidden="1"/>
    </xf>
    <xf numFmtId="166" fontId="55" fillId="18" borderId="0" xfId="3" applyNumberFormat="1" applyFont="1" applyFill="1" applyBorder="1" applyAlignment="1" applyProtection="1">
      <alignment horizontal="left" vertical="center"/>
      <protection hidden="1"/>
    </xf>
    <xf numFmtId="166" fontId="55" fillId="18" borderId="42" xfId="3" applyNumberFormat="1" applyFont="1" applyFill="1" applyBorder="1" applyAlignment="1" applyProtection="1">
      <alignment horizontal="left" vertical="center"/>
      <protection hidden="1"/>
    </xf>
    <xf numFmtId="0" fontId="4" fillId="18" borderId="42" xfId="0" applyFont="1" applyFill="1" applyBorder="1" applyAlignment="1" applyProtection="1">
      <alignment horizontal="center" vertical="center" wrapText="1"/>
      <protection hidden="1"/>
    </xf>
    <xf numFmtId="0" fontId="55" fillId="18" borderId="103" xfId="0" applyFont="1" applyFill="1" applyBorder="1" applyAlignment="1" applyProtection="1">
      <alignment horizontal="center" wrapText="1"/>
      <protection hidden="1"/>
    </xf>
    <xf numFmtId="0" fontId="56" fillId="19" borderId="107" xfId="0" applyFont="1" applyFill="1" applyBorder="1" applyAlignment="1" applyProtection="1">
      <alignment horizontal="center" vertical="center"/>
      <protection hidden="1"/>
    </xf>
    <xf numFmtId="0" fontId="41" fillId="19" borderId="107" xfId="0" applyFont="1" applyFill="1" applyBorder="1" applyAlignment="1" applyProtection="1">
      <alignment horizontal="left" vertical="center"/>
      <protection hidden="1"/>
    </xf>
    <xf numFmtId="0" fontId="41" fillId="19" borderId="107" xfId="0" applyFont="1" applyFill="1" applyBorder="1" applyAlignment="1" applyProtection="1">
      <alignment horizontal="right" vertical="center"/>
      <protection hidden="1"/>
    </xf>
    <xf numFmtId="0" fontId="26" fillId="21" borderId="82" xfId="0" applyFont="1" applyFill="1" applyBorder="1" applyAlignment="1" applyProtection="1">
      <alignment horizontal="left" vertical="center" wrapText="1"/>
      <protection hidden="1"/>
    </xf>
    <xf numFmtId="0" fontId="26" fillId="21" borderId="72" xfId="0" applyFont="1" applyFill="1" applyBorder="1" applyAlignment="1" applyProtection="1">
      <alignment horizontal="left" vertical="center" wrapText="1"/>
      <protection hidden="1"/>
    </xf>
    <xf numFmtId="0" fontId="26" fillId="21" borderId="83" xfId="0" applyFont="1" applyFill="1" applyBorder="1" applyAlignment="1" applyProtection="1">
      <alignment horizontal="left" vertical="center" wrapText="1"/>
      <protection hidden="1"/>
    </xf>
    <xf numFmtId="0" fontId="63" fillId="22" borderId="0" xfId="2" applyFont="1" applyFill="1" applyAlignment="1" applyProtection="1">
      <alignment horizontal="center" vertical="center"/>
      <protection hidden="1"/>
    </xf>
    <xf numFmtId="0" fontId="62" fillId="20" borderId="35" xfId="0" applyFont="1" applyFill="1" applyBorder="1" applyAlignment="1" applyProtection="1">
      <alignment horizontal="center" vertical="center" wrapText="1"/>
      <protection hidden="1"/>
    </xf>
    <xf numFmtId="0" fontId="62" fillId="20" borderId="16" xfId="0" applyFont="1" applyFill="1" applyBorder="1" applyAlignment="1" applyProtection="1">
      <alignment horizontal="center" vertical="center" wrapText="1"/>
      <protection hidden="1"/>
    </xf>
    <xf numFmtId="0" fontId="62" fillId="20" borderId="36" xfId="0" applyFont="1" applyFill="1" applyBorder="1" applyAlignment="1" applyProtection="1">
      <alignment horizontal="center" vertical="center" wrapText="1"/>
      <protection hidden="1"/>
    </xf>
    <xf numFmtId="0" fontId="62" fillId="20" borderId="37" xfId="0" applyFont="1" applyFill="1" applyBorder="1" applyAlignment="1" applyProtection="1">
      <alignment horizontal="center" vertical="center" wrapText="1"/>
      <protection hidden="1"/>
    </xf>
    <xf numFmtId="0" fontId="62" fillId="20" borderId="38" xfId="0" applyFont="1" applyFill="1" applyBorder="1" applyAlignment="1" applyProtection="1">
      <alignment horizontal="center" vertical="center" wrapText="1"/>
      <protection hidden="1"/>
    </xf>
    <xf numFmtId="0" fontId="62" fillId="20" borderId="39" xfId="0" applyFont="1" applyFill="1" applyBorder="1" applyAlignment="1" applyProtection="1">
      <alignment horizontal="center" vertical="center" wrapText="1"/>
      <protection hidden="1"/>
    </xf>
    <xf numFmtId="0" fontId="26" fillId="26" borderId="16" xfId="0" applyFont="1" applyFill="1" applyBorder="1" applyAlignment="1" applyProtection="1">
      <alignment horizontal="center" vertical="center" wrapText="1"/>
      <protection hidden="1"/>
    </xf>
    <xf numFmtId="0" fontId="26" fillId="26" borderId="0" xfId="0" applyFont="1" applyFill="1" applyBorder="1" applyAlignment="1" applyProtection="1">
      <alignment horizontal="center" vertical="center" wrapText="1"/>
      <protection hidden="1"/>
    </xf>
    <xf numFmtId="0" fontId="65" fillId="26" borderId="0" xfId="0" applyFont="1" applyFill="1" applyAlignment="1" applyProtection="1">
      <alignment horizontal="center" vertical="center"/>
      <protection hidden="1"/>
    </xf>
    <xf numFmtId="0" fontId="64" fillId="25" borderId="0" xfId="0" applyFont="1" applyFill="1" applyAlignment="1" applyProtection="1">
      <alignment horizontal="center" vertical="center"/>
      <protection hidden="1"/>
    </xf>
    <xf numFmtId="0" fontId="42" fillId="25" borderId="16" xfId="0" applyFont="1" applyFill="1" applyBorder="1" applyAlignment="1" applyProtection="1">
      <alignment horizontal="center" vertical="center" wrapText="1"/>
      <protection hidden="1"/>
    </xf>
    <xf numFmtId="0" fontId="42" fillId="25" borderId="0" xfId="0" applyFont="1" applyFill="1" applyBorder="1" applyAlignment="1" applyProtection="1">
      <alignment horizontal="center" vertical="center" wrapText="1"/>
      <protection hidden="1"/>
    </xf>
    <xf numFmtId="0" fontId="63" fillId="23" borderId="0" xfId="2" applyFont="1" applyFill="1" applyAlignment="1" applyProtection="1">
      <alignment horizontal="center" vertical="center"/>
      <protection hidden="1"/>
    </xf>
    <xf numFmtId="0" fontId="46" fillId="24" borderId="82" xfId="0" applyFont="1" applyFill="1" applyBorder="1" applyAlignment="1" applyProtection="1">
      <alignment horizontal="center" vertical="center"/>
      <protection hidden="1"/>
    </xf>
    <xf numFmtId="0" fontId="46" fillId="24" borderId="72" xfId="0" applyFont="1" applyFill="1" applyBorder="1" applyAlignment="1" applyProtection="1">
      <alignment horizontal="center" vertical="center"/>
      <protection hidden="1"/>
    </xf>
    <xf numFmtId="0" fontId="46" fillId="24" borderId="83" xfId="0" applyFont="1" applyFill="1" applyBorder="1" applyAlignment="1" applyProtection="1">
      <alignment horizontal="center" vertical="center"/>
      <protection hidden="1"/>
    </xf>
    <xf numFmtId="0" fontId="33" fillId="17" borderId="33" xfId="2" applyFont="1" applyFill="1" applyBorder="1" applyAlignment="1" applyProtection="1">
      <alignment horizontal="center" vertical="center"/>
      <protection locked="0" hidden="1"/>
    </xf>
    <xf numFmtId="0" fontId="33" fillId="17" borderId="17" xfId="2" applyFont="1" applyFill="1" applyBorder="1" applyAlignment="1" applyProtection="1">
      <alignment horizontal="center" vertical="center"/>
      <protection locked="0" hidden="1"/>
    </xf>
    <xf numFmtId="0" fontId="33" fillId="17" borderId="40" xfId="2" applyFont="1" applyFill="1" applyBorder="1" applyAlignment="1" applyProtection="1">
      <alignment horizontal="center" vertical="center"/>
      <protection locked="0" hidden="1"/>
    </xf>
    <xf numFmtId="0" fontId="33" fillId="17" borderId="31" xfId="2" applyFont="1" applyFill="1" applyBorder="1" applyAlignment="1" applyProtection="1">
      <alignment horizontal="center" vertical="center"/>
      <protection locked="0" hidden="1"/>
    </xf>
    <xf numFmtId="0" fontId="33" fillId="17" borderId="18" xfId="2" applyFont="1" applyFill="1" applyBorder="1" applyAlignment="1" applyProtection="1">
      <alignment horizontal="center" vertical="center"/>
      <protection locked="0" hidden="1"/>
    </xf>
    <xf numFmtId="0" fontId="33" fillId="17" borderId="32" xfId="2" applyFont="1" applyFill="1" applyBorder="1" applyAlignment="1" applyProtection="1">
      <alignment horizontal="center" vertical="center"/>
      <protection locked="0" hidden="1"/>
    </xf>
    <xf numFmtId="0" fontId="26" fillId="22" borderId="16" xfId="2" applyFont="1" applyFill="1" applyBorder="1" applyAlignment="1" applyProtection="1">
      <alignment horizontal="center" vertical="center" wrapText="1"/>
      <protection hidden="1"/>
    </xf>
    <xf numFmtId="0" fontId="26" fillId="22" borderId="0" xfId="2" applyFont="1" applyFill="1" applyBorder="1" applyAlignment="1" applyProtection="1">
      <alignment horizontal="center" vertical="center" wrapText="1"/>
      <protection hidden="1"/>
    </xf>
    <xf numFmtId="0" fontId="55" fillId="23" borderId="16"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48" fillId="11" borderId="0"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3" fontId="26" fillId="16" borderId="67" xfId="3" applyNumberFormat="1" applyFont="1" applyFill="1" applyBorder="1" applyAlignment="1" applyProtection="1">
      <alignment horizontal="left" vertical="center"/>
      <protection hidden="1"/>
    </xf>
    <xf numFmtId="3" fontId="26" fillId="16" borderId="69" xfId="3" applyNumberFormat="1" applyFont="1" applyFill="1" applyBorder="1" applyAlignment="1" applyProtection="1">
      <alignment horizontal="left" vertical="center"/>
      <protection hidden="1"/>
    </xf>
    <xf numFmtId="0" fontId="45" fillId="17" borderId="33" xfId="2" applyFont="1" applyFill="1" applyBorder="1" applyAlignment="1" applyProtection="1">
      <alignment horizontal="center" vertical="center" wrapText="1"/>
      <protection hidden="1"/>
    </xf>
    <xf numFmtId="0" fontId="45" fillId="17" borderId="17" xfId="2" applyFont="1" applyFill="1" applyBorder="1" applyAlignment="1" applyProtection="1">
      <alignment horizontal="center" vertical="center" wrapText="1"/>
      <protection hidden="1"/>
    </xf>
    <xf numFmtId="0" fontId="45" fillId="17" borderId="40" xfId="2" applyFont="1" applyFill="1" applyBorder="1" applyAlignment="1" applyProtection="1">
      <alignment horizontal="center" vertical="center" wrapText="1"/>
      <protection hidden="1"/>
    </xf>
    <xf numFmtId="0" fontId="45" fillId="17" borderId="34" xfId="2" applyFont="1" applyFill="1" applyBorder="1" applyAlignment="1" applyProtection="1">
      <alignment horizontal="center" vertical="center" wrapText="1"/>
      <protection hidden="1"/>
    </xf>
    <xf numFmtId="0" fontId="45" fillId="17" borderId="0" xfId="2" applyFont="1" applyFill="1" applyBorder="1" applyAlignment="1" applyProtection="1">
      <alignment horizontal="center" vertical="center" wrapText="1"/>
      <protection hidden="1"/>
    </xf>
    <xf numFmtId="0" fontId="45" fillId="17" borderId="30" xfId="2" applyFont="1" applyFill="1" applyBorder="1" applyAlignment="1" applyProtection="1">
      <alignment horizontal="center" vertical="center" wrapText="1"/>
      <protection hidden="1"/>
    </xf>
    <xf numFmtId="0" fontId="45" fillId="17" borderId="31" xfId="2" applyFont="1" applyFill="1" applyBorder="1" applyAlignment="1" applyProtection="1">
      <alignment horizontal="center" vertical="center" wrapText="1"/>
      <protection hidden="1"/>
    </xf>
    <xf numFmtId="0" fontId="45" fillId="17" borderId="18" xfId="2" applyFont="1" applyFill="1" applyBorder="1" applyAlignment="1" applyProtection="1">
      <alignment horizontal="center" vertical="center" wrapText="1"/>
      <protection hidden="1"/>
    </xf>
    <xf numFmtId="0" fontId="45" fillId="17" borderId="32" xfId="2" applyFont="1" applyFill="1" applyBorder="1" applyAlignment="1" applyProtection="1">
      <alignment horizontal="center" vertical="center" wrapText="1"/>
      <protection hidden="1"/>
    </xf>
    <xf numFmtId="0" fontId="26" fillId="16" borderId="0" xfId="0" applyFont="1" applyFill="1" applyAlignment="1" applyProtection="1">
      <alignment horizontal="center" vertical="center" wrapText="1"/>
      <protection hidden="1"/>
    </xf>
    <xf numFmtId="0" fontId="43" fillId="11" borderId="0" xfId="0" applyFont="1" applyFill="1" applyAlignment="1">
      <alignment vertical="center"/>
    </xf>
    <xf numFmtId="0" fontId="46" fillId="21" borderId="28" xfId="0" applyFont="1" applyFill="1" applyBorder="1" applyAlignment="1" applyProtection="1">
      <alignment horizontal="center" vertical="center" wrapText="1"/>
      <protection hidden="1"/>
    </xf>
    <xf numFmtId="0" fontId="46" fillId="21" borderId="41" xfId="0" applyFont="1" applyFill="1" applyBorder="1" applyAlignment="1" applyProtection="1">
      <alignment horizontal="center" vertical="center" wrapText="1"/>
      <protection hidden="1"/>
    </xf>
    <xf numFmtId="0" fontId="46" fillId="21" borderId="29" xfId="0" applyFont="1" applyFill="1" applyBorder="1" applyAlignment="1" applyProtection="1">
      <alignment horizontal="center" vertical="center" wrapText="1"/>
      <protection hidden="1"/>
    </xf>
    <xf numFmtId="0" fontId="43" fillId="11" borderId="0" xfId="0" applyFont="1" applyFill="1" applyAlignment="1" applyProtection="1">
      <alignment horizontal="center" vertical="center"/>
      <protection hidden="1"/>
    </xf>
    <xf numFmtId="0" fontId="43" fillId="11" borderId="0" xfId="0" applyFont="1" applyFill="1" applyAlignment="1" applyProtection="1">
      <alignment horizontal="center" vertical="center" wrapText="1"/>
      <protection hidden="1"/>
    </xf>
    <xf numFmtId="0" fontId="26" fillId="17" borderId="43" xfId="2" applyFont="1" applyFill="1" applyBorder="1" applyAlignment="1" applyProtection="1">
      <alignment horizontal="center" vertical="center" wrapText="1"/>
      <protection hidden="1"/>
    </xf>
    <xf numFmtId="0" fontId="26" fillId="17" borderId="44" xfId="2" applyFont="1" applyFill="1" applyBorder="1" applyAlignment="1" applyProtection="1">
      <alignment horizontal="center" vertical="center" wrapText="1"/>
      <protection hidden="1"/>
    </xf>
    <xf numFmtId="0" fontId="26" fillId="17" borderId="45" xfId="2" applyFont="1" applyFill="1" applyBorder="1" applyAlignment="1" applyProtection="1">
      <alignment horizontal="center" vertical="center" wrapText="1"/>
      <protection hidden="1"/>
    </xf>
    <xf numFmtId="0" fontId="8" fillId="7" borderId="28" xfId="0" applyFont="1" applyFill="1" applyBorder="1" applyAlignment="1" applyProtection="1">
      <alignment horizontal="center" vertical="center" wrapText="1"/>
      <protection hidden="1"/>
    </xf>
    <xf numFmtId="0" fontId="8" fillId="7" borderId="41" xfId="0" applyFont="1" applyFill="1" applyBorder="1" applyAlignment="1" applyProtection="1">
      <alignment horizontal="center" vertical="center" wrapText="1"/>
      <protection hidden="1"/>
    </xf>
    <xf numFmtId="0" fontId="8" fillId="7" borderId="29" xfId="0" applyFont="1" applyFill="1" applyBorder="1" applyAlignment="1" applyProtection="1">
      <alignment horizontal="center" vertical="center" wrapText="1"/>
      <protection hidden="1"/>
    </xf>
    <xf numFmtId="0" fontId="9" fillId="8" borderId="35" xfId="0" applyFont="1" applyFill="1" applyBorder="1" applyAlignment="1" applyProtection="1">
      <alignment horizontal="center" vertical="center" wrapText="1"/>
      <protection hidden="1"/>
    </xf>
    <xf numFmtId="0" fontId="9" fillId="8" borderId="36" xfId="0" applyFont="1" applyFill="1" applyBorder="1" applyAlignment="1" applyProtection="1">
      <alignment horizontal="center" vertical="center" wrapText="1"/>
      <protection hidden="1"/>
    </xf>
    <xf numFmtId="0" fontId="9" fillId="8" borderId="15" xfId="0" applyFont="1" applyFill="1" applyBorder="1" applyAlignment="1" applyProtection="1">
      <alignment horizontal="center" vertical="center" wrapText="1"/>
      <protection hidden="1"/>
    </xf>
    <xf numFmtId="0" fontId="9" fillId="8" borderId="42" xfId="0" applyFont="1" applyFill="1" applyBorder="1" applyAlignment="1" applyProtection="1">
      <alignment horizontal="center" vertical="center" wrapText="1"/>
      <protection hidden="1"/>
    </xf>
    <xf numFmtId="0" fontId="9" fillId="8" borderId="37" xfId="0" applyFont="1" applyFill="1" applyBorder="1" applyAlignment="1" applyProtection="1">
      <alignment horizontal="center" vertical="center" wrapText="1"/>
      <protection hidden="1"/>
    </xf>
    <xf numFmtId="0" fontId="9" fillId="8" borderId="39" xfId="0" applyFont="1" applyFill="1" applyBorder="1" applyAlignment="1" applyProtection="1">
      <alignment horizontal="center" vertical="center" wrapText="1"/>
      <protection hidden="1"/>
    </xf>
    <xf numFmtId="0" fontId="13" fillId="3" borderId="33" xfId="2" applyFont="1" applyFill="1" applyBorder="1" applyAlignment="1" applyProtection="1">
      <alignment horizontal="center" vertical="center"/>
      <protection hidden="1"/>
    </xf>
    <xf numFmtId="0" fontId="13" fillId="3" borderId="17" xfId="2" applyFont="1" applyFill="1" applyBorder="1" applyAlignment="1" applyProtection="1">
      <alignment horizontal="center" vertical="center"/>
      <protection hidden="1"/>
    </xf>
    <xf numFmtId="0" fontId="13" fillId="3" borderId="40" xfId="2" applyFont="1" applyFill="1" applyBorder="1" applyAlignment="1" applyProtection="1">
      <alignment horizontal="center" vertical="center"/>
      <protection hidden="1"/>
    </xf>
    <xf numFmtId="0" fontId="13" fillId="3" borderId="31" xfId="2" applyFont="1" applyFill="1" applyBorder="1" applyAlignment="1" applyProtection="1">
      <alignment horizontal="center" vertical="center"/>
      <protection hidden="1"/>
    </xf>
    <xf numFmtId="0" fontId="13" fillId="3" borderId="18" xfId="2" applyFont="1" applyFill="1" applyBorder="1" applyAlignment="1" applyProtection="1">
      <alignment horizontal="center" vertical="center"/>
      <protection hidden="1"/>
    </xf>
    <xf numFmtId="0" fontId="13" fillId="3" borderId="32" xfId="2" applyFont="1" applyFill="1" applyBorder="1" applyAlignment="1" applyProtection="1">
      <alignment horizontal="center" vertical="center"/>
      <protection hidden="1"/>
    </xf>
    <xf numFmtId="0" fontId="13" fillId="3" borderId="46" xfId="2" applyFont="1" applyFill="1" applyBorder="1" applyAlignment="1" applyProtection="1">
      <alignment horizontal="center" vertical="center" wrapText="1"/>
      <protection hidden="1"/>
    </xf>
    <xf numFmtId="0" fontId="13" fillId="3" borderId="47" xfId="2" applyFont="1" applyFill="1" applyBorder="1" applyAlignment="1" applyProtection="1">
      <alignment horizontal="center" vertical="center" wrapText="1"/>
      <protection hidden="1"/>
    </xf>
    <xf numFmtId="0" fontId="0" fillId="0" borderId="48" xfId="0" applyBorder="1" applyAlignment="1">
      <alignment wrapText="1"/>
    </xf>
    <xf numFmtId="0" fontId="60" fillId="0" borderId="0" xfId="0" applyFont="1" applyFill="1" applyAlignment="1" applyProtection="1">
      <alignment horizontal="left" vertical="center" wrapText="1"/>
      <protection hidden="1"/>
    </xf>
    <xf numFmtId="0" fontId="33" fillId="22" borderId="60" xfId="0" applyFont="1" applyFill="1" applyBorder="1" applyAlignment="1" applyProtection="1">
      <alignment horizontal="center" vertical="center" textRotation="90" wrapText="1"/>
      <protection hidden="1"/>
    </xf>
    <xf numFmtId="0" fontId="33" fillId="22" borderId="61" xfId="0" applyFont="1" applyFill="1" applyBorder="1" applyAlignment="1" applyProtection="1">
      <alignment horizontal="center" vertical="center" textRotation="90" wrapText="1"/>
      <protection hidden="1"/>
    </xf>
    <xf numFmtId="0" fontId="33" fillId="22" borderId="62" xfId="0" applyFont="1" applyFill="1" applyBorder="1" applyAlignment="1" applyProtection="1">
      <alignment horizontal="center" vertical="center" textRotation="90" wrapText="1"/>
      <protection hidden="1"/>
    </xf>
    <xf numFmtId="0" fontId="61" fillId="23" borderId="60" xfId="0" applyFont="1" applyFill="1" applyBorder="1" applyAlignment="1" applyProtection="1">
      <alignment horizontal="center" vertical="center" textRotation="90" wrapText="1"/>
      <protection hidden="1"/>
    </xf>
    <xf numFmtId="0" fontId="61" fillId="23" borderId="61" xfId="0" applyFont="1" applyFill="1" applyBorder="1" applyAlignment="1" applyProtection="1">
      <alignment horizontal="center" vertical="center" textRotation="90" wrapText="1"/>
      <protection hidden="1"/>
    </xf>
    <xf numFmtId="0" fontId="61" fillId="23" borderId="63" xfId="0" applyFont="1" applyFill="1" applyBorder="1" applyAlignment="1" applyProtection="1">
      <alignment horizontal="center" vertical="center" textRotation="90" wrapText="1"/>
      <protection hidden="1"/>
    </xf>
    <xf numFmtId="0" fontId="45" fillId="17" borderId="46" xfId="2" applyFont="1" applyFill="1" applyBorder="1" applyAlignment="1" applyProtection="1">
      <alignment horizontal="center" vertical="center" wrapText="1"/>
      <protection hidden="1"/>
    </xf>
    <xf numFmtId="0" fontId="45" fillId="17" borderId="48" xfId="2" applyFont="1" applyFill="1" applyBorder="1" applyAlignment="1" applyProtection="1">
      <alignment horizontal="center" vertical="center" wrapText="1"/>
      <protection hidden="1"/>
    </xf>
    <xf numFmtId="0" fontId="33" fillId="17" borderId="46" xfId="2" applyFont="1" applyFill="1" applyBorder="1" applyAlignment="1" applyProtection="1">
      <alignment horizontal="center" vertical="center" wrapText="1"/>
      <protection hidden="1"/>
    </xf>
    <xf numFmtId="0" fontId="33" fillId="17" borderId="48" xfId="2" applyFont="1" applyFill="1" applyBorder="1" applyAlignment="1" applyProtection="1">
      <alignment horizontal="center" vertical="center" wrapText="1"/>
      <protection hidden="1"/>
    </xf>
    <xf numFmtId="0" fontId="46" fillId="21" borderId="82" xfId="0" applyFont="1" applyFill="1" applyBorder="1" applyAlignment="1" applyProtection="1">
      <alignment horizontal="center" vertical="center" wrapText="1"/>
      <protection hidden="1"/>
    </xf>
    <xf numFmtId="0" fontId="46" fillId="21" borderId="72" xfId="0" applyFont="1" applyFill="1" applyBorder="1" applyAlignment="1" applyProtection="1">
      <alignment horizontal="center" vertical="center" wrapText="1"/>
      <protection hidden="1"/>
    </xf>
    <xf numFmtId="0" fontId="46" fillId="21" borderId="83" xfId="0" applyFont="1" applyFill="1" applyBorder="1" applyAlignment="1" applyProtection="1">
      <alignment horizontal="center" vertical="center" wrapText="1"/>
      <protection hidden="1"/>
    </xf>
    <xf numFmtId="0" fontId="33" fillId="16" borderId="33" xfId="0" applyFont="1" applyFill="1" applyBorder="1" applyAlignment="1" applyProtection="1">
      <alignment horizontal="right" vertical="center" wrapText="1"/>
      <protection hidden="1"/>
    </xf>
    <xf numFmtId="0" fontId="33" fillId="16" borderId="49" xfId="0" applyFont="1" applyFill="1" applyBorder="1" applyAlignment="1" applyProtection="1">
      <alignment horizontal="right" vertical="center" wrapText="1"/>
      <protection hidden="1"/>
    </xf>
    <xf numFmtId="0" fontId="33" fillId="16" borderId="34" xfId="0" applyFont="1" applyFill="1" applyBorder="1" applyAlignment="1" applyProtection="1">
      <alignment horizontal="right" vertical="center" wrapText="1"/>
      <protection hidden="1"/>
    </xf>
    <xf numFmtId="0" fontId="33" fillId="16" borderId="50" xfId="0" applyFont="1" applyFill="1" applyBorder="1" applyAlignment="1" applyProtection="1">
      <alignment horizontal="right" vertical="center" wrapText="1"/>
      <protection hidden="1"/>
    </xf>
    <xf numFmtId="0" fontId="33" fillId="16" borderId="51" xfId="0" applyFont="1" applyFill="1" applyBorder="1" applyAlignment="1" applyProtection="1">
      <alignment horizontal="right" vertical="center" wrapText="1"/>
      <protection hidden="1"/>
    </xf>
    <xf numFmtId="0" fontId="33" fillId="16" borderId="52" xfId="0" applyFont="1" applyFill="1" applyBorder="1" applyAlignment="1" applyProtection="1">
      <alignment horizontal="right" vertical="center" wrapText="1"/>
      <protection hidden="1"/>
    </xf>
    <xf numFmtId="0" fontId="33" fillId="16" borderId="53" xfId="0" applyFont="1" applyFill="1" applyBorder="1" applyAlignment="1" applyProtection="1">
      <alignment horizontal="center" vertical="center" wrapText="1"/>
      <protection hidden="1"/>
    </xf>
    <xf numFmtId="0" fontId="33" fillId="16" borderId="54" xfId="0" applyFont="1" applyFill="1" applyBorder="1" applyAlignment="1" applyProtection="1">
      <alignment horizontal="center" vertical="center" wrapText="1"/>
      <protection hidden="1"/>
    </xf>
    <xf numFmtId="0" fontId="33" fillId="16" borderId="55"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wrapText="1"/>
      <protection hidden="1"/>
    </xf>
    <xf numFmtId="0" fontId="33" fillId="16" borderId="17" xfId="0" applyFont="1" applyFill="1" applyBorder="1" applyAlignment="1" applyProtection="1">
      <alignment horizontal="center" wrapText="1"/>
      <protection hidden="1"/>
    </xf>
    <xf numFmtId="0" fontId="33" fillId="16" borderId="40" xfId="0" applyFont="1" applyFill="1" applyBorder="1" applyAlignment="1" applyProtection="1">
      <alignment horizontal="center" wrapText="1"/>
      <protection hidden="1"/>
    </xf>
    <xf numFmtId="0" fontId="33" fillId="16" borderId="57" xfId="0" applyFont="1" applyFill="1" applyBorder="1" applyAlignment="1" applyProtection="1">
      <alignment horizontal="center" vertical="center" wrapText="1"/>
      <protection hidden="1"/>
    </xf>
    <xf numFmtId="0" fontId="33" fillId="16" borderId="58" xfId="0" applyFont="1" applyFill="1" applyBorder="1" applyAlignment="1" applyProtection="1">
      <alignment horizontal="center" vertical="center" wrapText="1"/>
      <protection hidden="1"/>
    </xf>
    <xf numFmtId="0" fontId="33" fillId="16" borderId="59"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vertical="center" wrapText="1"/>
      <protection hidden="1"/>
    </xf>
    <xf numFmtId="0" fontId="33" fillId="16" borderId="17" xfId="0" applyFont="1" applyFill="1" applyBorder="1" applyAlignment="1" applyProtection="1">
      <alignment horizontal="center" vertical="center" wrapText="1"/>
      <protection hidden="1"/>
    </xf>
    <xf numFmtId="0" fontId="33" fillId="16" borderId="40" xfId="0" applyFont="1" applyFill="1" applyBorder="1" applyAlignment="1" applyProtection="1">
      <alignment horizontal="center" vertical="center" wrapText="1"/>
      <protection hidden="1"/>
    </xf>
    <xf numFmtId="0" fontId="33" fillId="26" borderId="60" xfId="0" applyFont="1" applyFill="1" applyBorder="1" applyAlignment="1" applyProtection="1">
      <alignment horizontal="center" vertical="center" textRotation="90" wrapText="1"/>
      <protection hidden="1"/>
    </xf>
    <xf numFmtId="0" fontId="33" fillId="26" borderId="61" xfId="0" applyFont="1" applyFill="1" applyBorder="1" applyAlignment="1" applyProtection="1">
      <alignment horizontal="center" vertical="center" textRotation="90" wrapText="1"/>
      <protection hidden="1"/>
    </xf>
    <xf numFmtId="0" fontId="33" fillId="26" borderId="62" xfId="0" applyFont="1" applyFill="1" applyBorder="1" applyAlignment="1" applyProtection="1">
      <alignment horizontal="center" vertical="center" textRotation="90" wrapText="1"/>
      <protection hidden="1"/>
    </xf>
    <xf numFmtId="0" fontId="61" fillId="25" borderId="60" xfId="0" applyFont="1" applyFill="1" applyBorder="1" applyAlignment="1" applyProtection="1">
      <alignment horizontal="center" vertical="center" textRotation="90" wrapText="1"/>
      <protection hidden="1"/>
    </xf>
    <xf numFmtId="0" fontId="61" fillId="25" borderId="61" xfId="0" applyFont="1" applyFill="1" applyBorder="1" applyAlignment="1" applyProtection="1">
      <alignment horizontal="center" vertical="center" textRotation="90" wrapText="1"/>
      <protection hidden="1"/>
    </xf>
    <xf numFmtId="0" fontId="61" fillId="25" borderId="63" xfId="0" applyFont="1" applyFill="1" applyBorder="1" applyAlignment="1" applyProtection="1">
      <alignment horizontal="center" vertical="center" textRotation="90" wrapText="1"/>
      <protection hidden="1"/>
    </xf>
    <xf numFmtId="0" fontId="6" fillId="9" borderId="114" xfId="5" applyFont="1" applyFill="1" applyBorder="1" applyAlignment="1" applyProtection="1">
      <alignment vertical="center" wrapText="1"/>
      <protection hidden="1"/>
    </xf>
    <xf numFmtId="0" fontId="6" fillId="9" borderId="114" xfId="5" applyFill="1" applyBorder="1" applyAlignment="1" applyProtection="1">
      <alignment vertical="center" wrapText="1"/>
      <protection hidden="1"/>
    </xf>
  </cellXfs>
  <cellStyles count="6">
    <cellStyle name="Komma" xfId="1" builtinId="3"/>
    <cellStyle name="Link" xfId="2" builtinId="8"/>
    <cellStyle name="Normal 2" xfId="5"/>
    <cellStyle name="Prozent" xfId="3" builtinId="5"/>
    <cellStyle name="Standard" xfId="0" builtinId="0"/>
    <cellStyle name="ปกติ_Sheet1" xfId="4"/>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6.png"/><Relationship Id="rId3" Type="http://schemas.openxmlformats.org/officeDocument/2006/relationships/image" Target="../media/image4.emf"/><Relationship Id="rId21" Type="http://schemas.openxmlformats.org/officeDocument/2006/relationships/image" Target="cid:image004.jpg@01CD34FF.E74DC1B0" TargetMode="Externa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png"/><Relationship Id="rId25" Type="http://schemas.openxmlformats.org/officeDocument/2006/relationships/image" Target="../media/image25.png"/><Relationship Id="rId2" Type="http://schemas.openxmlformats.org/officeDocument/2006/relationships/image" Target="../media/image3.emf"/><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4.png"/><Relationship Id="rId5" Type="http://schemas.openxmlformats.org/officeDocument/2006/relationships/image" Target="../media/image6.emf"/><Relationship Id="rId15" Type="http://schemas.openxmlformats.org/officeDocument/2006/relationships/image" Target="../media/image16.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emf"/><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xdr:cNvPicPr>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1123950</xdr:rowOff>
        </xdr:from>
        <xdr:to>
          <xdr:col>3</xdr:col>
          <xdr:colOff>857250</xdr:colOff>
          <xdr:row>0</xdr:row>
          <xdr:rowOff>1428750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1123950</xdr:rowOff>
        </xdr:from>
        <xdr:to>
          <xdr:col>4</xdr:col>
          <xdr:colOff>819150</xdr:colOff>
          <xdr:row>0</xdr:row>
          <xdr:rowOff>1428750</xdr:rowOff>
        </xdr:to>
        <xdr:sp macro="" textlink="">
          <xdr:nvSpPr>
            <xdr:cNvPr id="23569" name="Button 17" hidden="1">
              <a:extLst>
                <a:ext uri="{63B3BB69-23CF-44E3-9099-C40C66FF867C}">
                  <a14:compatExt spid="_x0000_s2356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1123950</xdr:rowOff>
        </xdr:from>
        <xdr:to>
          <xdr:col>5</xdr:col>
          <xdr:colOff>819150</xdr:colOff>
          <xdr:row>0</xdr:row>
          <xdr:rowOff>1428750</xdr:rowOff>
        </xdr:to>
        <xdr:sp macro="" textlink="">
          <xdr:nvSpPr>
            <xdr:cNvPr id="23587" name="Button 35" hidden="1">
              <a:extLst>
                <a:ext uri="{63B3BB69-23CF-44E3-9099-C40C66FF867C}">
                  <a14:compatExt spid="_x0000_s2358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1123950</xdr:rowOff>
        </xdr:from>
        <xdr:to>
          <xdr:col>6</xdr:col>
          <xdr:colOff>819150</xdr:colOff>
          <xdr:row>0</xdr:row>
          <xdr:rowOff>1428750</xdr:rowOff>
        </xdr:to>
        <xdr:sp macro="" textlink="">
          <xdr:nvSpPr>
            <xdr:cNvPr id="23588" name="Button 36" hidden="1">
              <a:extLst>
                <a:ext uri="{63B3BB69-23CF-44E3-9099-C40C66FF867C}">
                  <a14:compatExt spid="_x0000_s2358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0</xdr:row>
          <xdr:rowOff>1123950</xdr:rowOff>
        </xdr:from>
        <xdr:to>
          <xdr:col>7</xdr:col>
          <xdr:colOff>819150</xdr:colOff>
          <xdr:row>0</xdr:row>
          <xdr:rowOff>1428750</xdr:rowOff>
        </xdr:to>
        <xdr:sp macro="" textlink="">
          <xdr:nvSpPr>
            <xdr:cNvPr id="23589" name="Button 37" hidden="1">
              <a:extLst>
                <a:ext uri="{63B3BB69-23CF-44E3-9099-C40C66FF867C}">
                  <a14:compatExt spid="_x0000_s2358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1123950</xdr:rowOff>
        </xdr:from>
        <xdr:to>
          <xdr:col>8</xdr:col>
          <xdr:colOff>819150</xdr:colOff>
          <xdr:row>0</xdr:row>
          <xdr:rowOff>1428750</xdr:rowOff>
        </xdr:to>
        <xdr:sp macro="" textlink="">
          <xdr:nvSpPr>
            <xdr:cNvPr id="23590" name="Button 38" hidden="1">
              <a:extLst>
                <a:ext uri="{63B3BB69-23CF-44E3-9099-C40C66FF867C}">
                  <a14:compatExt spid="_x0000_s235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1123950</xdr:rowOff>
        </xdr:from>
        <xdr:to>
          <xdr:col>9</xdr:col>
          <xdr:colOff>819150</xdr:colOff>
          <xdr:row>0</xdr:row>
          <xdr:rowOff>1428750</xdr:rowOff>
        </xdr:to>
        <xdr:sp macro="" textlink="">
          <xdr:nvSpPr>
            <xdr:cNvPr id="23591" name="Button 39" hidden="1">
              <a:extLst>
                <a:ext uri="{63B3BB69-23CF-44E3-9099-C40C66FF867C}">
                  <a14:compatExt spid="_x0000_s2359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1123950</xdr:rowOff>
        </xdr:from>
        <xdr:to>
          <xdr:col>10</xdr:col>
          <xdr:colOff>819150</xdr:colOff>
          <xdr:row>0</xdr:row>
          <xdr:rowOff>1428750</xdr:rowOff>
        </xdr:to>
        <xdr:sp macro="" textlink="">
          <xdr:nvSpPr>
            <xdr:cNvPr id="23592" name="Button 40" hidden="1">
              <a:extLst>
                <a:ext uri="{63B3BB69-23CF-44E3-9099-C40C66FF867C}">
                  <a14:compatExt spid="_x0000_s2359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0</xdr:row>
          <xdr:rowOff>1123950</xdr:rowOff>
        </xdr:from>
        <xdr:to>
          <xdr:col>11</xdr:col>
          <xdr:colOff>819150</xdr:colOff>
          <xdr:row>0</xdr:row>
          <xdr:rowOff>1428750</xdr:rowOff>
        </xdr:to>
        <xdr:sp macro="" textlink="">
          <xdr:nvSpPr>
            <xdr:cNvPr id="23593" name="Button 41" hidden="1">
              <a:extLst>
                <a:ext uri="{63B3BB69-23CF-44E3-9099-C40C66FF867C}">
                  <a14:compatExt spid="_x0000_s2359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0</xdr:row>
          <xdr:rowOff>1123950</xdr:rowOff>
        </xdr:from>
        <xdr:to>
          <xdr:col>12</xdr:col>
          <xdr:colOff>819150</xdr:colOff>
          <xdr:row>0</xdr:row>
          <xdr:rowOff>1428750</xdr:rowOff>
        </xdr:to>
        <xdr:sp macro="" textlink="">
          <xdr:nvSpPr>
            <xdr:cNvPr id="23594" name="Button 42" hidden="1">
              <a:extLst>
                <a:ext uri="{63B3BB69-23CF-44E3-9099-C40C66FF867C}">
                  <a14:compatExt spid="_x0000_s235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xdr:cNvPicPr>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xdr:cNvPicPr>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xdr:cNvPicPr>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322729</xdr:rowOff>
    </xdr:to>
    <xdr:pic>
      <xdr:nvPicPr>
        <xdr:cNvPr id="8196" name="Picture 14"/>
        <xdr:cNvPicPr>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9525</xdr:colOff>
      <xdr:row>22</xdr:row>
      <xdr:rowOff>0</xdr:rowOff>
    </xdr:to>
    <xdr:pic>
      <xdr:nvPicPr>
        <xdr:cNvPr id="8197" name="Picture 15"/>
        <xdr:cNvPicPr>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xdr:cNvPicPr>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xdr:cNvPicPr>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322729</xdr:rowOff>
    </xdr:to>
    <xdr:pic>
      <xdr:nvPicPr>
        <xdr:cNvPr id="8200" name="Picture 18"/>
        <xdr:cNvPicPr>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8202" name="Picture 20"/>
        <xdr:cNvPicPr>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8203" name="Picture 21"/>
        <xdr:cNvPicPr>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xdr:twoCellAnchor>
    <xdr:from>
      <xdr:col>0</xdr:col>
      <xdr:colOff>142875</xdr:colOff>
      <xdr:row>27</xdr:row>
      <xdr:rowOff>9525</xdr:rowOff>
    </xdr:from>
    <xdr:to>
      <xdr:col>3</xdr:col>
      <xdr:colOff>9525</xdr:colOff>
      <xdr:row>28</xdr:row>
      <xdr:rowOff>9525</xdr:rowOff>
    </xdr:to>
    <xdr:grpSp>
      <xdr:nvGrpSpPr>
        <xdr:cNvPr id="8204" name="Group 32"/>
        <xdr:cNvGrpSpPr>
          <a:grpSpLocks/>
        </xdr:cNvGrpSpPr>
      </xdr:nvGrpSpPr>
      <xdr:grpSpPr bwMode="auto">
        <a:xfrm>
          <a:off x="142875" y="6024707"/>
          <a:ext cx="749877" cy="213591"/>
          <a:chOff x="377" y="337"/>
          <a:chExt cx="74" cy="23"/>
        </a:xfrm>
      </xdr:grpSpPr>
      <xdr:pic>
        <xdr:nvPicPr>
          <xdr:cNvPr id="8213" name="Picture 23"/>
          <xdr:cNvPicPr>
            <a:picLocks noChangeAspect="1" noChangeArrowheads="1"/>
          </xdr:cNvPicPr>
        </xdr:nvPicPr>
        <xdr:blipFill>
          <a:blip xmlns:r="http://schemas.openxmlformats.org/officeDocument/2006/relationships" r:embed="rId11" cstate="print"/>
          <a:srcRect/>
          <a:stretch>
            <a:fillRect/>
          </a:stretch>
        </xdr:blipFill>
        <xdr:spPr bwMode="auto">
          <a:xfrm>
            <a:off x="414" y="337"/>
            <a:ext cx="37" cy="23"/>
          </a:xfrm>
          <a:prstGeom prst="rect">
            <a:avLst/>
          </a:prstGeom>
          <a:noFill/>
          <a:ln w="9525">
            <a:noFill/>
            <a:miter lim="800000"/>
            <a:headEnd/>
            <a:tailEnd/>
          </a:ln>
        </xdr:spPr>
      </xdr:pic>
      <xdr:pic>
        <xdr:nvPicPr>
          <xdr:cNvPr id="8214" name="Picture 24"/>
          <xdr:cNvPicPr>
            <a:picLocks noChangeAspect="1" noChangeArrowheads="1"/>
          </xdr:cNvPicPr>
        </xdr:nvPicPr>
        <xdr:blipFill>
          <a:blip xmlns:r="http://schemas.openxmlformats.org/officeDocument/2006/relationships" r:embed="rId12" cstate="print"/>
          <a:srcRect/>
          <a:stretch>
            <a:fillRect/>
          </a:stretch>
        </xdr:blipFill>
        <xdr:spPr bwMode="auto">
          <a:xfrm>
            <a:off x="377" y="337"/>
            <a:ext cx="38" cy="23"/>
          </a:xfrm>
          <a:prstGeom prst="rect">
            <a:avLst/>
          </a:prstGeom>
          <a:noFill/>
          <a:ln w="9525">
            <a:noFill/>
            <a:miter lim="800000"/>
            <a:headEnd/>
            <a:tailEnd/>
          </a:ln>
        </xdr:spPr>
      </xdr:pic>
    </xdr:grpSp>
    <xdr:clientData/>
  </xdr:twoCellAnchor>
  <xdr:twoCellAnchor editAs="oneCell">
    <xdr:from>
      <xdr:col>8</xdr:col>
      <xdr:colOff>0</xdr:colOff>
      <xdr:row>13</xdr:row>
      <xdr:rowOff>9525</xdr:rowOff>
    </xdr:from>
    <xdr:to>
      <xdr:col>9</xdr:col>
      <xdr:colOff>38100</xdr:colOff>
      <xdr:row>14</xdr:row>
      <xdr:rowOff>28575</xdr:rowOff>
    </xdr:to>
    <xdr:pic>
      <xdr:nvPicPr>
        <xdr:cNvPr id="8207" name="Picture 28" descr="THAL0001[1]"/>
        <xdr:cNvPicPr>
          <a:picLocks noChangeAspect="1" noChangeArrowheads="1"/>
        </xdr:cNvPicPr>
      </xdr:nvPicPr>
      <xdr:blipFill>
        <a:blip xmlns:r="http://schemas.openxmlformats.org/officeDocument/2006/relationships" r:embed="rId13" cstate="print"/>
        <a:srcRect/>
        <a:stretch>
          <a:fillRect/>
        </a:stretch>
      </xdr:blipFill>
      <xdr:spPr bwMode="auto">
        <a:xfrm>
          <a:off x="3593306" y="2889647"/>
          <a:ext cx="390525" cy="238125"/>
        </a:xfrm>
        <a:prstGeom prst="rect">
          <a:avLst/>
        </a:prstGeom>
        <a:noFill/>
        <a:ln w="9525">
          <a:noFill/>
          <a:miter lim="800000"/>
          <a:headEnd/>
          <a:tailEnd/>
        </a:ln>
      </xdr:spPr>
    </xdr:pic>
    <xdr:clientData/>
  </xdr:twoCellAnchor>
  <xdr:twoCellAnchor editAs="oneCell">
    <xdr:from>
      <xdr:col>8</xdr:col>
      <xdr:colOff>0</xdr:colOff>
      <xdr:row>23</xdr:row>
      <xdr:rowOff>19050</xdr:rowOff>
    </xdr:from>
    <xdr:to>
      <xdr:col>8</xdr:col>
      <xdr:colOff>333375</xdr:colOff>
      <xdr:row>24</xdr:row>
      <xdr:rowOff>0</xdr:rowOff>
    </xdr:to>
    <xdr:pic>
      <xdr:nvPicPr>
        <xdr:cNvPr id="8208" name="Picture 29" descr="RMNA0001"/>
        <xdr:cNvPicPr>
          <a:picLocks noChangeAspect="1" noChangeArrowheads="1"/>
        </xdr:cNvPicPr>
      </xdr:nvPicPr>
      <xdr:blipFill>
        <a:blip xmlns:r="http://schemas.openxmlformats.org/officeDocument/2006/relationships" r:embed="rId14" cstate="print"/>
        <a:srcRect/>
        <a:stretch>
          <a:fillRect/>
        </a:stretch>
      </xdr:blipFill>
      <xdr:spPr bwMode="auto">
        <a:xfrm>
          <a:off x="3590925" y="4558911"/>
          <a:ext cx="333375" cy="200025"/>
        </a:xfrm>
        <a:prstGeom prst="rect">
          <a:avLst/>
        </a:prstGeom>
        <a:noFill/>
        <a:ln w="9525">
          <a:noFill/>
          <a:miter lim="800000"/>
          <a:headEnd/>
          <a:tailEnd/>
        </a:ln>
      </xdr:spPr>
    </xdr:pic>
    <xdr:clientData/>
  </xdr:twoCellAnchor>
  <xdr:twoCellAnchor editAs="oneCell">
    <xdr:from>
      <xdr:col>7</xdr:col>
      <xdr:colOff>342900</xdr:colOff>
      <xdr:row>17</xdr:row>
      <xdr:rowOff>9525</xdr:rowOff>
    </xdr:from>
    <xdr:to>
      <xdr:col>9</xdr:col>
      <xdr:colOff>19050</xdr:colOff>
      <xdr:row>18</xdr:row>
      <xdr:rowOff>28575</xdr:rowOff>
    </xdr:to>
    <xdr:pic>
      <xdr:nvPicPr>
        <xdr:cNvPr id="8209" name="Picture 30" descr="CHIN0001"/>
        <xdr:cNvPicPr>
          <a:picLocks noChangeAspect="1" noChangeArrowheads="1"/>
        </xdr:cNvPicPr>
      </xdr:nvPicPr>
      <xdr:blipFill>
        <a:blip xmlns:r="http://schemas.openxmlformats.org/officeDocument/2006/relationships" r:embed="rId15" cstate="print"/>
        <a:srcRect/>
        <a:stretch>
          <a:fillRect/>
        </a:stretch>
      </xdr:blipFill>
      <xdr:spPr bwMode="auto">
        <a:xfrm>
          <a:off x="3587354" y="3556397"/>
          <a:ext cx="378618" cy="238125"/>
        </a:xfrm>
        <a:prstGeom prst="rect">
          <a:avLst/>
        </a:prstGeom>
        <a:noFill/>
        <a:ln w="9525">
          <a:noFill/>
          <a:miter lim="800000"/>
          <a:headEnd/>
          <a:tailEnd/>
        </a:ln>
      </xdr:spPr>
    </xdr:pic>
    <xdr:clientData/>
  </xdr:twoCellAnchor>
  <xdr:twoCellAnchor editAs="oneCell">
    <xdr:from>
      <xdr:col>9</xdr:col>
      <xdr:colOff>0</xdr:colOff>
      <xdr:row>23</xdr:row>
      <xdr:rowOff>19050</xdr:rowOff>
    </xdr:from>
    <xdr:to>
      <xdr:col>9</xdr:col>
      <xdr:colOff>342900</xdr:colOff>
      <xdr:row>24</xdr:row>
      <xdr:rowOff>0</xdr:rowOff>
    </xdr:to>
    <xdr:pic>
      <xdr:nvPicPr>
        <xdr:cNvPr id="8210" name="Picture 31" descr="MOLD0001"/>
        <xdr:cNvPicPr>
          <a:picLocks noChangeAspect="1" noChangeArrowheads="1"/>
        </xdr:cNvPicPr>
      </xdr:nvPicPr>
      <xdr:blipFill>
        <a:blip xmlns:r="http://schemas.openxmlformats.org/officeDocument/2006/relationships" r:embed="rId16" cstate="print"/>
        <a:srcRect/>
        <a:stretch>
          <a:fillRect/>
        </a:stretch>
      </xdr:blipFill>
      <xdr:spPr bwMode="auto">
        <a:xfrm>
          <a:off x="3943350" y="4558911"/>
          <a:ext cx="342900" cy="200025"/>
        </a:xfrm>
        <a:prstGeom prst="rect">
          <a:avLst/>
        </a:prstGeom>
        <a:noFill/>
        <a:ln w="9525">
          <a:noFill/>
          <a:miter lim="800000"/>
          <a:headEnd/>
          <a:tailEnd/>
        </a:ln>
      </xdr:spPr>
    </xdr:pic>
    <xdr:clientData/>
  </xdr:twoCellAnchor>
  <xdr:twoCellAnchor editAs="oneCell">
    <xdr:from>
      <xdr:col>8</xdr:col>
      <xdr:colOff>0</xdr:colOff>
      <xdr:row>15</xdr:row>
      <xdr:rowOff>9525</xdr:rowOff>
    </xdr:from>
    <xdr:to>
      <xdr:col>9</xdr:col>
      <xdr:colOff>9525</xdr:colOff>
      <xdr:row>15</xdr:row>
      <xdr:rowOff>209550</xdr:rowOff>
    </xdr:to>
    <xdr:pic>
      <xdr:nvPicPr>
        <xdr:cNvPr id="8211" name="Picture 33" descr="SERB0001"/>
        <xdr:cNvPicPr>
          <a:picLocks noChangeAspect="1" noChangeArrowheads="1"/>
        </xdr:cNvPicPr>
      </xdr:nvPicPr>
      <xdr:blipFill>
        <a:blip xmlns:r="http://schemas.openxmlformats.org/officeDocument/2006/relationships" r:embed="rId17" cstate="print"/>
        <a:srcRect/>
        <a:stretch>
          <a:fillRect/>
        </a:stretch>
      </xdr:blipFill>
      <xdr:spPr bwMode="auto">
        <a:xfrm>
          <a:off x="3590925" y="3214688"/>
          <a:ext cx="361950" cy="208359"/>
        </a:xfrm>
        <a:prstGeom prst="rect">
          <a:avLst/>
        </a:prstGeom>
        <a:noFill/>
        <a:ln w="9525">
          <a:noFill/>
          <a:miter lim="800000"/>
          <a:headEnd/>
          <a:tailEnd/>
        </a:ln>
      </xdr:spPr>
    </xdr:pic>
    <xdr:clientData/>
  </xdr:twoCellAnchor>
  <xdr:twoCellAnchor editAs="oneCell">
    <xdr:from>
      <xdr:col>8</xdr:col>
      <xdr:colOff>9525</xdr:colOff>
      <xdr:row>25</xdr:row>
      <xdr:rowOff>28575</xdr:rowOff>
    </xdr:from>
    <xdr:to>
      <xdr:col>9</xdr:col>
      <xdr:colOff>0</xdr:colOff>
      <xdr:row>26</xdr:row>
      <xdr:rowOff>19051</xdr:rowOff>
    </xdr:to>
    <xdr:pic>
      <xdr:nvPicPr>
        <xdr:cNvPr id="8212" name="Picture 37"/>
        <xdr:cNvPicPr>
          <a:picLocks noChangeAspect="1" noChangeArrowheads="1"/>
        </xdr:cNvPicPr>
      </xdr:nvPicPr>
      <xdr:blipFill>
        <a:blip xmlns:r="http://schemas.openxmlformats.org/officeDocument/2006/relationships" r:embed="rId18" cstate="print"/>
        <a:srcRect/>
        <a:stretch>
          <a:fillRect/>
        </a:stretch>
      </xdr:blipFill>
      <xdr:spPr bwMode="auto">
        <a:xfrm>
          <a:off x="3600450" y="4901811"/>
          <a:ext cx="342900" cy="215503"/>
        </a:xfrm>
        <a:prstGeom prst="rect">
          <a:avLst/>
        </a:prstGeom>
        <a:noFill/>
        <a:ln w="1">
          <a:noFill/>
          <a:miter lim="800000"/>
          <a:headEnd/>
          <a:tailEnd/>
        </a:ln>
      </xdr:spPr>
    </xdr:pic>
    <xdr:clientData/>
  </xdr:twoCellAnchor>
  <xdr:twoCellAnchor editAs="oneCell">
    <xdr:from>
      <xdr:col>0</xdr:col>
      <xdr:colOff>133350</xdr:colOff>
      <xdr:row>29</xdr:row>
      <xdr:rowOff>9525</xdr:rowOff>
    </xdr:from>
    <xdr:to>
      <xdr:col>1</xdr:col>
      <xdr:colOff>342900</xdr:colOff>
      <xdr:row>30</xdr:row>
      <xdr:rowOff>19050</xdr:rowOff>
    </xdr:to>
    <xdr:pic>
      <xdr:nvPicPr>
        <xdr:cNvPr id="24" name="Picture 25"/>
        <xdr:cNvPicPr>
          <a:picLocks noChangeAspect="1" noChangeArrowheads="1"/>
        </xdr:cNvPicPr>
      </xdr:nvPicPr>
      <xdr:blipFill>
        <a:blip xmlns:r="http://schemas.openxmlformats.org/officeDocument/2006/relationships" r:embed="rId19" cstate="print"/>
        <a:srcRect/>
        <a:stretch>
          <a:fillRect/>
        </a:stretch>
      </xdr:blipFill>
      <xdr:spPr bwMode="auto">
        <a:xfrm>
          <a:off x="138112" y="5785247"/>
          <a:ext cx="360759" cy="220266"/>
        </a:xfrm>
        <a:prstGeom prst="rect">
          <a:avLst/>
        </a:prstGeom>
        <a:noFill/>
        <a:ln w="1">
          <a:noFill/>
          <a:miter lim="800000"/>
          <a:headEnd/>
          <a:tailEnd/>
        </a:ln>
      </xdr:spPr>
    </xdr:pic>
    <xdr:clientData/>
  </xdr:twoCellAnchor>
  <xdr:twoCellAnchor>
    <xdr:from>
      <xdr:col>8</xdr:col>
      <xdr:colOff>342900</xdr:colOff>
      <xdr:row>27</xdr:row>
      <xdr:rowOff>9525</xdr:rowOff>
    </xdr:from>
    <xdr:to>
      <xdr:col>9</xdr:col>
      <xdr:colOff>342900</xdr:colOff>
      <xdr:row>28</xdr:row>
      <xdr:rowOff>19050</xdr:rowOff>
    </xdr:to>
    <xdr:pic>
      <xdr:nvPicPr>
        <xdr:cNvPr id="2049" name="Picture 2" descr="Image of National Flag"/>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3931630" y="5219792"/>
          <a:ext cx="352365" cy="225941"/>
        </a:xfrm>
        <a:prstGeom prst="rect">
          <a:avLst/>
        </a:prstGeom>
        <a:noFill/>
      </xdr:spPr>
    </xdr:pic>
    <xdr:clientData/>
  </xdr:twoCellAnchor>
  <xdr:twoCellAnchor>
    <xdr:from>
      <xdr:col>8</xdr:col>
      <xdr:colOff>19050</xdr:colOff>
      <xdr:row>27</xdr:row>
      <xdr:rowOff>9525</xdr:rowOff>
    </xdr:from>
    <xdr:to>
      <xdr:col>8</xdr:col>
      <xdr:colOff>342900</xdr:colOff>
      <xdr:row>28</xdr:row>
      <xdr:rowOff>19050</xdr:rowOff>
    </xdr:to>
    <xdr:pic>
      <xdr:nvPicPr>
        <xdr:cNvPr id="2050" name="Picture 1" descr="Image of National Flag"/>
        <xdr:cNvPicPr>
          <a:picLocks noChangeAspect="1" noChangeArrowheads="1"/>
        </xdr:cNvPicPr>
      </xdr:nvPicPr>
      <xdr:blipFill>
        <a:blip xmlns:r="http://schemas.openxmlformats.org/officeDocument/2006/relationships" r:embed="rId22" cstate="print"/>
        <a:srcRect/>
        <a:stretch>
          <a:fillRect/>
        </a:stretch>
      </xdr:blipFill>
      <xdr:spPr bwMode="auto">
        <a:xfrm>
          <a:off x="3609239" y="5221167"/>
          <a:ext cx="325979" cy="225941"/>
        </a:xfrm>
        <a:prstGeom prst="rect">
          <a:avLst/>
        </a:prstGeom>
        <a:noFill/>
        <a:ln w="9525">
          <a:noFill/>
          <a:miter lim="800000"/>
          <a:headEnd/>
          <a:tailEnd/>
        </a:ln>
      </xdr:spPr>
    </xdr:pic>
    <xdr:clientData/>
  </xdr:twoCellAnchor>
  <xdr:twoCellAnchor editAs="oneCell">
    <xdr:from>
      <xdr:col>0</xdr:col>
      <xdr:colOff>133350</xdr:colOff>
      <xdr:row>31</xdr:row>
      <xdr:rowOff>0</xdr:rowOff>
    </xdr:from>
    <xdr:to>
      <xdr:col>1</xdr:col>
      <xdr:colOff>342900</xdr:colOff>
      <xdr:row>32</xdr:row>
      <xdr:rowOff>9525</xdr:rowOff>
    </xdr:to>
    <xdr:pic>
      <xdr:nvPicPr>
        <xdr:cNvPr id="26" name="Picture 27" descr="ARLE0001 korrigiert"/>
        <xdr:cNvPicPr>
          <a:picLocks noChangeAspect="1" noChangeArrowheads="1"/>
        </xdr:cNvPicPr>
      </xdr:nvPicPr>
      <xdr:blipFill>
        <a:blip xmlns:r="http://schemas.openxmlformats.org/officeDocument/2006/relationships" r:embed="rId23" cstate="print"/>
        <a:srcRect/>
        <a:stretch>
          <a:fillRect/>
        </a:stretch>
      </xdr:blipFill>
      <xdr:spPr bwMode="auto">
        <a:xfrm>
          <a:off x="133350" y="5867400"/>
          <a:ext cx="361950" cy="229791"/>
        </a:xfrm>
        <a:prstGeom prst="rect">
          <a:avLst/>
        </a:prstGeom>
        <a:noFill/>
        <a:ln w="9525">
          <a:noFill/>
          <a:miter lim="800000"/>
          <a:headEnd/>
          <a:tailEnd/>
        </a:ln>
      </xdr:spPr>
    </xdr:pic>
    <xdr:clientData/>
  </xdr:twoCellAnchor>
  <xdr:twoCellAnchor editAs="oneCell">
    <xdr:from>
      <xdr:col>8</xdr:col>
      <xdr:colOff>19050</xdr:colOff>
      <xdr:row>29</xdr:row>
      <xdr:rowOff>9525</xdr:rowOff>
    </xdr:from>
    <xdr:to>
      <xdr:col>8</xdr:col>
      <xdr:colOff>333375</xdr:colOff>
      <xdr:row>30</xdr:row>
      <xdr:rowOff>9525</xdr:rowOff>
    </xdr:to>
    <xdr:pic>
      <xdr:nvPicPr>
        <xdr:cNvPr id="2" name="Picture 1" descr="Flag of Georgia.svg"/>
        <xdr:cNvPicPr>
          <a:picLocks noChangeAspect="1" noChangeArrowheads="1"/>
        </xdr:cNvPicPr>
      </xdr:nvPicPr>
      <xdr:blipFill>
        <a:blip xmlns:r="http://schemas.openxmlformats.org/officeDocument/2006/relationships" r:embed="rId24" cstate="print"/>
        <a:srcRect/>
        <a:stretch>
          <a:fillRect/>
        </a:stretch>
      </xdr:blipFill>
      <xdr:spPr bwMode="auto">
        <a:xfrm>
          <a:off x="3608472" y="5570118"/>
          <a:ext cx="318854" cy="215065"/>
        </a:xfrm>
        <a:prstGeom prst="rect">
          <a:avLst/>
        </a:prstGeom>
        <a:noFill/>
      </xdr:spPr>
    </xdr:pic>
    <xdr:clientData/>
  </xdr:twoCellAnchor>
  <xdr:twoCellAnchor editAs="oneCell">
    <xdr:from>
      <xdr:col>8</xdr:col>
      <xdr:colOff>13447</xdr:colOff>
      <xdr:row>30</xdr:row>
      <xdr:rowOff>106456</xdr:rowOff>
    </xdr:from>
    <xdr:to>
      <xdr:col>9</xdr:col>
      <xdr:colOff>31549</xdr:colOff>
      <xdr:row>32</xdr:row>
      <xdr:rowOff>5603</xdr:rowOff>
    </xdr:to>
    <xdr:pic>
      <xdr:nvPicPr>
        <xdr:cNvPr id="1025" name="Picture 1" descr="Flag of Bulgaria.svg"/>
        <xdr:cNvPicPr>
          <a:picLocks noChangeAspect="1" noChangeArrowheads="1"/>
        </xdr:cNvPicPr>
      </xdr:nvPicPr>
      <xdr:blipFill>
        <a:blip xmlns:r="http://schemas.openxmlformats.org/officeDocument/2006/relationships" r:embed="rId25" cstate="print"/>
        <a:srcRect/>
        <a:stretch>
          <a:fillRect/>
        </a:stretch>
      </xdr:blipFill>
      <xdr:spPr bwMode="auto">
        <a:xfrm>
          <a:off x="3610535" y="6695515"/>
          <a:ext cx="371088" cy="229720"/>
        </a:xfrm>
        <a:prstGeom prst="rect">
          <a:avLst/>
        </a:prstGeom>
        <a:noFill/>
      </xdr:spPr>
    </xdr:pic>
    <xdr:clientData/>
  </xdr:twoCellAnchor>
  <xdr:twoCellAnchor editAs="oneCell">
    <xdr:from>
      <xdr:col>8</xdr:col>
      <xdr:colOff>16810</xdr:colOff>
      <xdr:row>32</xdr:row>
      <xdr:rowOff>111777</xdr:rowOff>
    </xdr:from>
    <xdr:to>
      <xdr:col>9</xdr:col>
      <xdr:colOff>8176</xdr:colOff>
      <xdr:row>33</xdr:row>
      <xdr:rowOff>230118</xdr:rowOff>
    </xdr:to>
    <xdr:pic>
      <xdr:nvPicPr>
        <xdr:cNvPr id="28" name="Grafik 27" descr="Flag of the Czech Republic"/>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3613898" y="7031409"/>
          <a:ext cx="344352" cy="23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pageSetUpPr fitToPage="1"/>
  </sheetPr>
  <dimension ref="A1:AZ46"/>
  <sheetViews>
    <sheetView tabSelected="1" zoomScale="80" zoomScaleNormal="80" workbookViewId="0"/>
  </sheetViews>
  <sheetFormatPr baseColWidth="10" defaultColWidth="4.81640625" defaultRowHeight="25.5" customHeight="1"/>
  <cols>
    <col min="1" max="1" width="1.453125" style="14" customWidth="1"/>
    <col min="2" max="17" width="5.7265625" style="14" customWidth="1"/>
    <col min="18" max="18" width="3.26953125" style="14" customWidth="1"/>
    <col min="19" max="19" width="5.7265625" style="14" customWidth="1"/>
    <col min="20" max="20" width="4.453125" style="20" customWidth="1"/>
    <col min="21" max="28" width="5.7265625" style="14" customWidth="1"/>
    <col min="29" max="29" width="5.7265625" style="28" customWidth="1"/>
    <col min="30" max="30" width="0.81640625" style="28" customWidth="1"/>
    <col min="31" max="31" width="1.453125" style="14" customWidth="1"/>
    <col min="32" max="52" width="5.81640625" style="14" customWidth="1"/>
    <col min="53" max="16384" width="4.81640625" style="14"/>
  </cols>
  <sheetData>
    <row r="1" spans="1:50" ht="7.5" customHeight="1" thickBot="1">
      <c r="A1" s="20"/>
      <c r="S1" s="28"/>
      <c r="T1" s="164"/>
    </row>
    <row r="2" spans="1:50" ht="4.5" customHeight="1" thickTop="1" thickBot="1">
      <c r="A2" s="20"/>
      <c r="B2" s="510" t="s">
        <v>2999</v>
      </c>
      <c r="C2" s="510"/>
      <c r="D2" s="510"/>
      <c r="E2" s="510"/>
      <c r="F2" s="510"/>
      <c r="G2" s="510"/>
      <c r="H2" s="510"/>
      <c r="I2" s="510"/>
      <c r="J2" s="510"/>
      <c r="K2" s="510"/>
      <c r="L2" s="510"/>
      <c r="M2" s="510"/>
      <c r="N2" s="510"/>
      <c r="O2" s="510"/>
      <c r="P2" s="510"/>
      <c r="Q2" s="510"/>
      <c r="S2" s="167"/>
      <c r="T2" s="168"/>
      <c r="U2" s="176"/>
      <c r="V2" s="176"/>
      <c r="W2" s="176"/>
      <c r="X2" s="176"/>
      <c r="Y2" s="176"/>
      <c r="Z2" s="176"/>
      <c r="AA2" s="176"/>
      <c r="AB2" s="176"/>
      <c r="AC2" s="176"/>
      <c r="AD2" s="177"/>
    </row>
    <row r="3" spans="1:50" ht="28.5" customHeight="1" thickBot="1">
      <c r="A3" s="21"/>
      <c r="B3" s="510"/>
      <c r="C3" s="510"/>
      <c r="D3" s="510"/>
      <c r="E3" s="510"/>
      <c r="F3" s="510"/>
      <c r="G3" s="510"/>
      <c r="H3" s="510"/>
      <c r="I3" s="510"/>
      <c r="J3" s="510"/>
      <c r="K3" s="510"/>
      <c r="L3" s="510"/>
      <c r="M3" s="510"/>
      <c r="N3" s="510"/>
      <c r="O3" s="510"/>
      <c r="P3" s="510"/>
      <c r="Q3" s="510"/>
      <c r="R3" s="21"/>
      <c r="S3" s="169"/>
      <c r="T3" s="170"/>
      <c r="U3" s="505" t="str">
        <f>'Used Language'!C5</f>
        <v>Getting Started</v>
      </c>
      <c r="V3" s="506"/>
      <c r="W3" s="506"/>
      <c r="X3" s="506"/>
      <c r="Y3" s="506"/>
      <c r="Z3" s="506"/>
      <c r="AA3" s="506"/>
      <c r="AB3" s="506"/>
      <c r="AC3" s="507"/>
      <c r="AD3" s="178"/>
      <c r="AE3" s="22"/>
      <c r="AF3" s="21"/>
      <c r="AG3" s="21"/>
      <c r="AH3" s="21"/>
      <c r="AI3" s="21"/>
      <c r="AJ3" s="21"/>
      <c r="AM3" s="21"/>
      <c r="AN3" s="21"/>
      <c r="AO3" s="21"/>
      <c r="AP3" s="21"/>
      <c r="AQ3" s="21"/>
      <c r="AT3" s="21"/>
      <c r="AU3" s="21"/>
      <c r="AV3" s="21"/>
      <c r="AW3" s="21"/>
      <c r="AX3" s="21"/>
    </row>
    <row r="4" spans="1:50" ht="4.5" customHeight="1" thickBot="1">
      <c r="A4" s="21"/>
      <c r="B4" s="510"/>
      <c r="C4" s="510"/>
      <c r="D4" s="510"/>
      <c r="E4" s="510"/>
      <c r="F4" s="510"/>
      <c r="G4" s="510"/>
      <c r="H4" s="510"/>
      <c r="I4" s="510"/>
      <c r="J4" s="510"/>
      <c r="K4" s="510"/>
      <c r="L4" s="510"/>
      <c r="M4" s="510"/>
      <c r="N4" s="510"/>
      <c r="O4" s="510"/>
      <c r="P4" s="510"/>
      <c r="Q4" s="510"/>
      <c r="R4" s="21"/>
      <c r="S4" s="169"/>
      <c r="T4" s="170"/>
      <c r="U4" s="175"/>
      <c r="V4" s="27"/>
      <c r="W4" s="27"/>
      <c r="X4" s="27"/>
      <c r="Y4" s="27"/>
      <c r="Z4" s="27"/>
      <c r="AA4" s="27"/>
      <c r="AB4" s="27"/>
      <c r="AC4" s="27"/>
      <c r="AD4" s="178"/>
      <c r="AE4" s="22"/>
      <c r="AF4" s="21"/>
      <c r="AG4" s="21"/>
      <c r="AH4" s="21"/>
      <c r="AI4" s="21"/>
      <c r="AJ4" s="21"/>
      <c r="AM4" s="21"/>
      <c r="AN4" s="21"/>
      <c r="AO4" s="21"/>
      <c r="AP4" s="21"/>
      <c r="AQ4" s="21"/>
      <c r="AT4" s="21"/>
      <c r="AU4" s="21"/>
      <c r="AV4" s="21"/>
      <c r="AW4" s="21"/>
      <c r="AX4" s="21"/>
    </row>
    <row r="5" spans="1:50" ht="47.5" customHeight="1" thickBot="1">
      <c r="A5" s="21"/>
      <c r="B5" s="510"/>
      <c r="C5" s="510"/>
      <c r="D5" s="510"/>
      <c r="E5" s="510"/>
      <c r="F5" s="510"/>
      <c r="G5" s="510"/>
      <c r="H5" s="510"/>
      <c r="I5" s="510"/>
      <c r="J5" s="510"/>
      <c r="K5" s="510"/>
      <c r="L5" s="510"/>
      <c r="M5" s="510"/>
      <c r="N5" s="510"/>
      <c r="O5" s="510"/>
      <c r="P5" s="510"/>
      <c r="Q5" s="510"/>
      <c r="R5" s="21"/>
      <c r="S5" s="169"/>
      <c r="T5" s="170"/>
      <c r="U5" s="505" t="str">
        <f>'Used Language'!C15</f>
        <v>Change Language</v>
      </c>
      <c r="V5" s="506"/>
      <c r="W5" s="506"/>
      <c r="X5" s="506"/>
      <c r="Y5" s="506"/>
      <c r="Z5" s="506"/>
      <c r="AA5" s="506"/>
      <c r="AB5" s="506"/>
      <c r="AC5" s="507"/>
      <c r="AD5" s="178"/>
      <c r="AE5" s="22"/>
      <c r="AF5" s="21"/>
      <c r="AG5" s="21"/>
      <c r="AH5" s="21"/>
      <c r="AI5" s="21"/>
      <c r="AJ5" s="21"/>
      <c r="AM5" s="21"/>
      <c r="AN5" s="21"/>
      <c r="AO5" s="21"/>
      <c r="AP5" s="21"/>
      <c r="AQ5" s="21"/>
      <c r="AT5" s="21"/>
      <c r="AU5" s="21"/>
      <c r="AV5" s="21"/>
      <c r="AW5" s="21"/>
      <c r="AX5" s="21"/>
    </row>
    <row r="6" spans="1:50" ht="4.5" customHeight="1" thickBot="1">
      <c r="A6" s="21"/>
      <c r="B6" s="510"/>
      <c r="C6" s="510"/>
      <c r="D6" s="510"/>
      <c r="E6" s="510"/>
      <c r="F6" s="510"/>
      <c r="G6" s="510"/>
      <c r="H6" s="510"/>
      <c r="I6" s="510"/>
      <c r="J6" s="510"/>
      <c r="K6" s="510"/>
      <c r="L6" s="510"/>
      <c r="M6" s="510"/>
      <c r="N6" s="510"/>
      <c r="O6" s="510"/>
      <c r="P6" s="510"/>
      <c r="Q6" s="510"/>
      <c r="R6" s="21"/>
      <c r="S6" s="169"/>
      <c r="T6" s="170"/>
      <c r="U6" s="175"/>
      <c r="V6" s="27"/>
      <c r="W6" s="27"/>
      <c r="X6" s="27"/>
      <c r="Y6" s="27"/>
      <c r="Z6" s="27"/>
      <c r="AA6" s="27"/>
      <c r="AB6" s="27"/>
      <c r="AC6" s="27"/>
      <c r="AD6" s="178"/>
      <c r="AE6" s="22"/>
      <c r="AF6" s="21"/>
      <c r="AG6" s="21"/>
      <c r="AH6" s="21"/>
      <c r="AI6" s="21"/>
      <c r="AJ6" s="21"/>
      <c r="AM6" s="21"/>
      <c r="AN6" s="21"/>
      <c r="AO6" s="21"/>
      <c r="AP6" s="21"/>
      <c r="AQ6" s="21"/>
      <c r="AT6" s="21"/>
      <c r="AU6" s="21"/>
      <c r="AV6" s="21"/>
      <c r="AW6" s="21"/>
      <c r="AX6" s="21"/>
    </row>
    <row r="7" spans="1:50" ht="25.5" customHeight="1" thickBot="1">
      <c r="A7" s="21"/>
      <c r="B7" s="535" t="s">
        <v>3562</v>
      </c>
      <c r="C7" s="536"/>
      <c r="D7" s="536"/>
      <c r="E7" s="536"/>
      <c r="F7" s="536"/>
      <c r="G7" s="536"/>
      <c r="H7" s="536"/>
      <c r="I7" s="536"/>
      <c r="J7" s="536"/>
      <c r="K7" s="536"/>
      <c r="L7" s="536"/>
      <c r="M7" s="536"/>
      <c r="N7" s="536"/>
      <c r="O7" s="536"/>
      <c r="P7" s="536"/>
      <c r="Q7" s="536"/>
      <c r="R7" s="21"/>
      <c r="S7" s="503" t="str">
        <f>'Used Language'!C114</f>
        <v>Data Entry</v>
      </c>
      <c r="T7" s="171" t="s">
        <v>1299</v>
      </c>
      <c r="U7" s="490" t="str">
        <f>'Used Language'!C10</f>
        <v>System Input Volume</v>
      </c>
      <c r="V7" s="491"/>
      <c r="W7" s="491"/>
      <c r="X7" s="491"/>
      <c r="Y7" s="491"/>
      <c r="Z7" s="491"/>
      <c r="AA7" s="491"/>
      <c r="AB7" s="491"/>
      <c r="AC7" s="492"/>
      <c r="AD7" s="179"/>
      <c r="AE7" s="23"/>
      <c r="AF7" s="21"/>
      <c r="AG7" s="21"/>
      <c r="AH7" s="21"/>
      <c r="AI7" s="21"/>
      <c r="AJ7" s="21"/>
      <c r="AM7" s="21"/>
      <c r="AN7" s="21"/>
      <c r="AO7" s="21"/>
      <c r="AP7" s="21"/>
      <c r="AQ7" s="21"/>
      <c r="AT7" s="21"/>
      <c r="AU7" s="21"/>
      <c r="AV7" s="21"/>
      <c r="AW7" s="21"/>
      <c r="AX7" s="21"/>
    </row>
    <row r="8" spans="1:50" ht="4.5" customHeight="1" thickBot="1">
      <c r="A8" s="21"/>
      <c r="B8" s="536"/>
      <c r="C8" s="536"/>
      <c r="D8" s="536"/>
      <c r="E8" s="536"/>
      <c r="F8" s="536"/>
      <c r="G8" s="536"/>
      <c r="H8" s="536"/>
      <c r="I8" s="536"/>
      <c r="J8" s="536"/>
      <c r="K8" s="536"/>
      <c r="L8" s="536"/>
      <c r="M8" s="536"/>
      <c r="N8" s="536"/>
      <c r="O8" s="536"/>
      <c r="P8" s="536"/>
      <c r="Q8" s="536"/>
      <c r="R8" s="21"/>
      <c r="S8" s="503"/>
      <c r="T8" s="171"/>
      <c r="U8" s="175"/>
      <c r="V8" s="27"/>
      <c r="W8" s="27"/>
      <c r="X8" s="27"/>
      <c r="Y8" s="27"/>
      <c r="Z8" s="27"/>
      <c r="AA8" s="27"/>
      <c r="AB8" s="27"/>
      <c r="AC8" s="27"/>
      <c r="AD8" s="179"/>
      <c r="AE8" s="23"/>
      <c r="AF8" s="21"/>
      <c r="AG8" s="21"/>
      <c r="AH8" s="21"/>
      <c r="AI8" s="21"/>
      <c r="AJ8" s="21"/>
      <c r="AM8" s="21"/>
      <c r="AN8" s="21"/>
      <c r="AO8" s="21"/>
      <c r="AP8" s="21"/>
      <c r="AQ8" s="21"/>
      <c r="AT8" s="21"/>
      <c r="AU8" s="21"/>
      <c r="AV8" s="21"/>
      <c r="AW8" s="21"/>
      <c r="AX8" s="21"/>
    </row>
    <row r="9" spans="1:50" ht="25.5" customHeight="1" thickBot="1">
      <c r="A9" s="21"/>
      <c r="B9" s="536"/>
      <c r="C9" s="536"/>
      <c r="D9" s="536"/>
      <c r="E9" s="536"/>
      <c r="F9" s="536"/>
      <c r="G9" s="536"/>
      <c r="H9" s="536"/>
      <c r="I9" s="536"/>
      <c r="J9" s="536"/>
      <c r="K9" s="536"/>
      <c r="L9" s="536"/>
      <c r="M9" s="536"/>
      <c r="N9" s="536"/>
      <c r="O9" s="536"/>
      <c r="P9" s="536"/>
      <c r="Q9" s="536"/>
      <c r="R9" s="21"/>
      <c r="S9" s="503"/>
      <c r="T9" s="171" t="s">
        <v>1300</v>
      </c>
      <c r="U9" s="490" t="str">
        <f>'Used Language'!C11</f>
        <v>Billed Consumption</v>
      </c>
      <c r="V9" s="491"/>
      <c r="W9" s="491"/>
      <c r="X9" s="491"/>
      <c r="Y9" s="491"/>
      <c r="Z9" s="491"/>
      <c r="AA9" s="491"/>
      <c r="AB9" s="491"/>
      <c r="AC9" s="492"/>
      <c r="AD9" s="179"/>
      <c r="AE9" s="23"/>
      <c r="AF9" s="21"/>
      <c r="AG9" s="21"/>
      <c r="AH9" s="21"/>
      <c r="AI9" s="21"/>
      <c r="AJ9" s="21"/>
      <c r="AM9" s="21"/>
      <c r="AN9" s="21"/>
      <c r="AO9" s="21"/>
      <c r="AP9" s="21"/>
      <c r="AQ9" s="21"/>
      <c r="AT9" s="21"/>
      <c r="AU9" s="21"/>
      <c r="AV9" s="21"/>
      <c r="AW9" s="21"/>
      <c r="AX9" s="21"/>
    </row>
    <row r="10" spans="1:50" ht="4.5" customHeight="1" thickBot="1">
      <c r="A10" s="21"/>
      <c r="B10" s="536"/>
      <c r="C10" s="536"/>
      <c r="D10" s="536"/>
      <c r="E10" s="536"/>
      <c r="F10" s="536"/>
      <c r="G10" s="536"/>
      <c r="H10" s="536"/>
      <c r="I10" s="536"/>
      <c r="J10" s="536"/>
      <c r="K10" s="536"/>
      <c r="L10" s="536"/>
      <c r="M10" s="536"/>
      <c r="N10" s="536"/>
      <c r="O10" s="536"/>
      <c r="P10" s="536"/>
      <c r="Q10" s="536"/>
      <c r="R10" s="21"/>
      <c r="S10" s="503"/>
      <c r="T10" s="171"/>
      <c r="U10" s="175"/>
      <c r="V10" s="27"/>
      <c r="W10" s="27"/>
      <c r="X10" s="27"/>
      <c r="Y10" s="27"/>
      <c r="Z10" s="27"/>
      <c r="AA10" s="27"/>
      <c r="AB10" s="27"/>
      <c r="AC10" s="27"/>
      <c r="AD10" s="179"/>
      <c r="AE10" s="23"/>
      <c r="AF10" s="21"/>
      <c r="AG10" s="21"/>
      <c r="AH10" s="21"/>
      <c r="AI10" s="21"/>
      <c r="AJ10" s="21"/>
      <c r="AM10" s="21"/>
      <c r="AN10" s="21"/>
      <c r="AO10" s="21"/>
      <c r="AP10" s="21"/>
      <c r="AQ10" s="21"/>
      <c r="AT10" s="21"/>
      <c r="AU10" s="21"/>
      <c r="AV10" s="21"/>
      <c r="AW10" s="21"/>
      <c r="AX10" s="21"/>
    </row>
    <row r="11" spans="1:50" ht="25.5" customHeight="1" thickBot="1">
      <c r="B11" s="536"/>
      <c r="C11" s="536"/>
      <c r="D11" s="536"/>
      <c r="E11" s="536"/>
      <c r="F11" s="536"/>
      <c r="G11" s="536"/>
      <c r="H11" s="536"/>
      <c r="I11" s="536"/>
      <c r="J11" s="536"/>
      <c r="K11" s="536"/>
      <c r="L11" s="536"/>
      <c r="M11" s="536"/>
      <c r="N11" s="536"/>
      <c r="O11" s="536"/>
      <c r="P11" s="536"/>
      <c r="Q11" s="536"/>
      <c r="S11" s="503"/>
      <c r="T11" s="171" t="s">
        <v>1301</v>
      </c>
      <c r="U11" s="490" t="str">
        <f>'Used Language'!C12</f>
        <v>Unbilled Consumption</v>
      </c>
      <c r="V11" s="491"/>
      <c r="W11" s="491"/>
      <c r="X11" s="491"/>
      <c r="Y11" s="491"/>
      <c r="Z11" s="491"/>
      <c r="AA11" s="491"/>
      <c r="AB11" s="491"/>
      <c r="AC11" s="492"/>
      <c r="AD11" s="179"/>
      <c r="AE11" s="23"/>
    </row>
    <row r="12" spans="1:50" ht="4.5" customHeight="1" thickBot="1">
      <c r="A12" s="21"/>
      <c r="B12" s="21"/>
      <c r="C12" s="21"/>
      <c r="D12" s="21"/>
      <c r="E12" s="21"/>
      <c r="F12" s="21"/>
      <c r="I12" s="21"/>
      <c r="J12" s="21"/>
      <c r="K12" s="21"/>
      <c r="L12" s="21"/>
      <c r="M12" s="21"/>
      <c r="N12" s="21"/>
      <c r="Q12" s="21"/>
      <c r="S12" s="503"/>
      <c r="T12" s="171"/>
      <c r="U12" s="175"/>
      <c r="V12" s="27"/>
      <c r="W12" s="27"/>
      <c r="X12" s="27"/>
      <c r="Y12" s="27"/>
      <c r="Z12" s="27"/>
      <c r="AA12" s="27"/>
      <c r="AB12" s="27"/>
      <c r="AC12" s="27"/>
      <c r="AD12" s="179"/>
      <c r="AE12" s="23"/>
    </row>
    <row r="13" spans="1:50" ht="25.5" customHeight="1" thickBot="1">
      <c r="R13" s="21"/>
      <c r="S13" s="503"/>
      <c r="T13" s="171" t="s">
        <v>1302</v>
      </c>
      <c r="U13" s="490" t="str">
        <f>'Used Language'!C13</f>
        <v>Unauthorized Consumption</v>
      </c>
      <c r="V13" s="491"/>
      <c r="W13" s="491"/>
      <c r="X13" s="491"/>
      <c r="Y13" s="491"/>
      <c r="Z13" s="491"/>
      <c r="AA13" s="491"/>
      <c r="AB13" s="491"/>
      <c r="AC13" s="492"/>
      <c r="AD13" s="179"/>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03"/>
      <c r="T14" s="171"/>
      <c r="U14" s="175"/>
      <c r="V14" s="27"/>
      <c r="W14" s="27"/>
      <c r="X14" s="27"/>
      <c r="Y14" s="27"/>
      <c r="Z14" s="27"/>
      <c r="AA14" s="27"/>
      <c r="AB14" s="27"/>
      <c r="AC14" s="27"/>
      <c r="AD14" s="179"/>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03"/>
      <c r="T15" s="171" t="s">
        <v>1303</v>
      </c>
      <c r="U15" s="490" t="str">
        <f>'Used Language'!C14</f>
        <v>Customer Meter Inaccuracies and Data Handling Errors</v>
      </c>
      <c r="V15" s="491"/>
      <c r="W15" s="491"/>
      <c r="X15" s="491"/>
      <c r="Y15" s="491"/>
      <c r="Z15" s="491"/>
      <c r="AA15" s="491"/>
      <c r="AB15" s="491"/>
      <c r="AC15" s="492"/>
      <c r="AD15" s="179"/>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03"/>
      <c r="T16" s="171"/>
      <c r="U16" s="175"/>
      <c r="V16" s="27"/>
      <c r="W16" s="27"/>
      <c r="X16" s="27"/>
      <c r="Y16" s="27"/>
      <c r="Z16" s="27"/>
      <c r="AA16" s="27"/>
      <c r="AB16" s="27"/>
      <c r="AC16" s="27"/>
      <c r="AD16" s="179"/>
      <c r="AE16" s="23"/>
      <c r="AF16" s="21"/>
      <c r="AG16" s="21"/>
      <c r="AH16" s="21"/>
      <c r="AI16" s="21"/>
      <c r="AJ16" s="21"/>
      <c r="AM16" s="21"/>
      <c r="AN16" s="21"/>
      <c r="AO16" s="21"/>
      <c r="AP16" s="21"/>
      <c r="AQ16" s="21"/>
      <c r="AT16" s="21"/>
      <c r="AU16" s="21"/>
      <c r="AV16" s="21"/>
      <c r="AW16" s="21"/>
      <c r="AX16" s="21"/>
    </row>
    <row r="17" spans="1:52" ht="25.5" customHeight="1" thickBot="1">
      <c r="A17" s="21"/>
      <c r="B17" s="509" t="str">
        <f>'Used Language'!C118</f>
        <v>Utility Name:</v>
      </c>
      <c r="C17" s="509"/>
      <c r="D17" s="509"/>
      <c r="E17" s="509"/>
      <c r="F17" s="509"/>
      <c r="G17" s="509"/>
      <c r="H17" s="526"/>
      <c r="I17" s="526"/>
      <c r="J17" s="526"/>
      <c r="K17" s="526"/>
      <c r="L17" s="526"/>
      <c r="M17" s="526"/>
      <c r="N17" s="509" t="str">
        <f>'Used Language'!C119</f>
        <v>Year:</v>
      </c>
      <c r="O17" s="509"/>
      <c r="P17" s="508"/>
      <c r="Q17" s="508"/>
      <c r="R17" s="21"/>
      <c r="S17" s="503"/>
      <c r="T17" s="171" t="s">
        <v>1304</v>
      </c>
      <c r="U17" s="490" t="str">
        <f>'Used Language'!C8</f>
        <v>Network Data</v>
      </c>
      <c r="V17" s="491"/>
      <c r="W17" s="491"/>
      <c r="X17" s="491"/>
      <c r="Y17" s="491"/>
      <c r="Z17" s="491"/>
      <c r="AA17" s="491"/>
      <c r="AB17" s="491"/>
      <c r="AC17" s="492"/>
      <c r="AD17" s="179"/>
      <c r="AE17" s="23"/>
      <c r="AF17" s="21"/>
      <c r="AG17" s="21"/>
      <c r="AH17" s="21"/>
      <c r="AI17" s="21"/>
      <c r="AJ17" s="21"/>
      <c r="AM17" s="21"/>
      <c r="AN17" s="21"/>
      <c r="AO17" s="21"/>
      <c r="AP17" s="21"/>
      <c r="AQ17" s="21"/>
      <c r="AT17" s="21"/>
      <c r="AU17" s="21"/>
      <c r="AV17" s="21"/>
      <c r="AW17" s="21"/>
      <c r="AX17" s="21"/>
    </row>
    <row r="18" spans="1:52" ht="4.5" customHeight="1" thickBot="1">
      <c r="A18" s="21"/>
      <c r="R18" s="21"/>
      <c r="S18" s="503"/>
      <c r="T18" s="171"/>
      <c r="U18" s="175"/>
      <c r="V18" s="27"/>
      <c r="W18" s="27"/>
      <c r="X18" s="27"/>
      <c r="Y18" s="27"/>
      <c r="Z18" s="27"/>
      <c r="AA18" s="27"/>
      <c r="AB18" s="27"/>
      <c r="AC18" s="27"/>
      <c r="AD18" s="179"/>
      <c r="AE18" s="23"/>
      <c r="AF18" s="21"/>
      <c r="AG18" s="21"/>
      <c r="AH18" s="21"/>
      <c r="AI18" s="21"/>
      <c r="AJ18" s="21"/>
      <c r="AM18" s="21"/>
      <c r="AN18" s="21"/>
      <c r="AO18" s="21"/>
      <c r="AP18" s="21"/>
      <c r="AQ18" s="21"/>
      <c r="AT18" s="21"/>
      <c r="AU18" s="21"/>
      <c r="AV18" s="21"/>
      <c r="AW18" s="21"/>
      <c r="AX18" s="21"/>
    </row>
    <row r="19" spans="1:52" ht="25.5" customHeight="1" thickBot="1">
      <c r="A19" s="21"/>
      <c r="S19" s="503"/>
      <c r="T19" s="171" t="s">
        <v>1305</v>
      </c>
      <c r="U19" s="490" t="str">
        <f>'Used Language'!C9</f>
        <v>Pressure</v>
      </c>
      <c r="V19" s="491"/>
      <c r="W19" s="491"/>
      <c r="X19" s="491"/>
      <c r="Y19" s="491"/>
      <c r="Z19" s="491"/>
      <c r="AA19" s="491"/>
      <c r="AB19" s="491"/>
      <c r="AC19" s="492"/>
      <c r="AD19" s="179"/>
      <c r="AE19" s="23"/>
    </row>
    <row r="20" spans="1:52" ht="4.5" customHeight="1" thickBot="1">
      <c r="A20" s="21"/>
      <c r="S20" s="503"/>
      <c r="T20" s="171"/>
      <c r="U20" s="175"/>
      <c r="V20" s="27"/>
      <c r="W20" s="27"/>
      <c r="X20" s="27"/>
      <c r="Y20" s="27"/>
      <c r="Z20" s="27"/>
      <c r="AA20" s="27"/>
      <c r="AB20" s="27"/>
      <c r="AC20" s="27"/>
      <c r="AD20" s="179"/>
      <c r="AE20" s="23"/>
    </row>
    <row r="21" spans="1:52" ht="25.5" customHeight="1" thickBot="1">
      <c r="A21" s="21"/>
      <c r="B21" s="517" t="str">
        <f>'Used Language'!C149</f>
        <v>The volumes used for this water balance are for a period of:</v>
      </c>
      <c r="C21" s="518"/>
      <c r="D21" s="518"/>
      <c r="E21" s="518"/>
      <c r="F21" s="518"/>
      <c r="G21" s="518"/>
      <c r="H21" s="518"/>
      <c r="I21" s="518"/>
      <c r="J21" s="518"/>
      <c r="K21" s="518"/>
      <c r="L21" s="519"/>
      <c r="M21" s="511">
        <v>365</v>
      </c>
      <c r="N21" s="512"/>
      <c r="O21" s="493" t="str">
        <f>'Used Language'!C150</f>
        <v>days</v>
      </c>
      <c r="P21" s="494"/>
      <c r="Q21" s="495"/>
      <c r="R21" s="21"/>
      <c r="S21" s="503"/>
      <c r="T21" s="171" t="s">
        <v>1306</v>
      </c>
      <c r="U21" s="490" t="str">
        <f>'Used Language'!C71</f>
        <v>Intermittent Supply</v>
      </c>
      <c r="V21" s="491"/>
      <c r="W21" s="491"/>
      <c r="X21" s="491"/>
      <c r="Y21" s="491"/>
      <c r="Z21" s="491"/>
      <c r="AA21" s="491"/>
      <c r="AB21" s="491"/>
      <c r="AC21" s="492"/>
      <c r="AD21" s="179"/>
      <c r="AE21" s="23"/>
      <c r="AF21" s="21"/>
      <c r="AG21" s="21"/>
      <c r="AH21" s="21"/>
      <c r="AI21" s="21"/>
      <c r="AJ21" s="21"/>
      <c r="AM21" s="21"/>
      <c r="AN21" s="21"/>
      <c r="AO21" s="21"/>
      <c r="AP21" s="21"/>
      <c r="AQ21" s="21"/>
      <c r="AT21" s="21"/>
      <c r="AU21" s="21"/>
      <c r="AV21" s="21"/>
      <c r="AW21" s="21"/>
      <c r="AX21" s="21"/>
    </row>
    <row r="22" spans="1:52" ht="4.5" customHeight="1" thickBot="1">
      <c r="B22" s="520"/>
      <c r="C22" s="521"/>
      <c r="D22" s="521"/>
      <c r="E22" s="521"/>
      <c r="F22" s="521"/>
      <c r="G22" s="521"/>
      <c r="H22" s="521"/>
      <c r="I22" s="521"/>
      <c r="J22" s="521"/>
      <c r="K22" s="521"/>
      <c r="L22" s="522"/>
      <c r="M22" s="513"/>
      <c r="N22" s="514"/>
      <c r="O22" s="496"/>
      <c r="P22" s="497"/>
      <c r="Q22" s="498"/>
      <c r="R22" s="21"/>
      <c r="S22" s="503"/>
      <c r="T22" s="171"/>
      <c r="U22" s="175"/>
      <c r="V22" s="27"/>
      <c r="W22" s="27"/>
      <c r="X22" s="27"/>
      <c r="Y22" s="27"/>
      <c r="Z22" s="27"/>
      <c r="AA22" s="27"/>
      <c r="AB22" s="27"/>
      <c r="AC22" s="27"/>
      <c r="AD22" s="179"/>
      <c r="AE22" s="23"/>
      <c r="AF22" s="21"/>
      <c r="AG22" s="21"/>
      <c r="AH22" s="21"/>
      <c r="AI22" s="21"/>
      <c r="AJ22" s="21"/>
      <c r="AM22" s="21"/>
      <c r="AN22" s="21"/>
      <c r="AO22" s="21"/>
      <c r="AP22" s="21"/>
      <c r="AQ22" s="21"/>
      <c r="AT22" s="21"/>
      <c r="AU22" s="21"/>
      <c r="AV22" s="21"/>
      <c r="AW22" s="21"/>
      <c r="AX22" s="21"/>
    </row>
    <row r="23" spans="1:52" ht="25.5" customHeight="1" thickBot="1">
      <c r="B23" s="520"/>
      <c r="C23" s="521"/>
      <c r="D23" s="521"/>
      <c r="E23" s="521"/>
      <c r="F23" s="521"/>
      <c r="G23" s="521"/>
      <c r="H23" s="521"/>
      <c r="I23" s="521"/>
      <c r="J23" s="521"/>
      <c r="K23" s="521"/>
      <c r="L23" s="522"/>
      <c r="M23" s="513"/>
      <c r="N23" s="514"/>
      <c r="O23" s="496"/>
      <c r="P23" s="497"/>
      <c r="Q23" s="498"/>
      <c r="R23" s="21"/>
      <c r="S23" s="503"/>
      <c r="T23" s="171" t="s">
        <v>1307</v>
      </c>
      <c r="U23" s="490" t="str">
        <f>'Used Language'!C80</f>
        <v>Financial Information</v>
      </c>
      <c r="V23" s="491"/>
      <c r="W23" s="491"/>
      <c r="X23" s="491"/>
      <c r="Y23" s="491"/>
      <c r="Z23" s="491"/>
      <c r="AA23" s="491"/>
      <c r="AB23" s="491"/>
      <c r="AC23" s="492"/>
      <c r="AD23" s="179"/>
      <c r="AE23" s="23"/>
      <c r="AF23" s="21"/>
      <c r="AG23" s="21"/>
      <c r="AH23" s="21"/>
      <c r="AI23" s="21"/>
      <c r="AJ23" s="21"/>
      <c r="AM23" s="21"/>
      <c r="AN23" s="21"/>
      <c r="AO23" s="21"/>
      <c r="AP23" s="21"/>
      <c r="AQ23" s="21"/>
      <c r="AT23" s="21"/>
      <c r="AU23" s="21"/>
      <c r="AV23" s="21"/>
      <c r="AW23" s="21"/>
      <c r="AX23" s="21"/>
    </row>
    <row r="24" spans="1:52" ht="4.5" customHeight="1" thickBot="1">
      <c r="B24" s="523"/>
      <c r="C24" s="524"/>
      <c r="D24" s="524"/>
      <c r="E24" s="524"/>
      <c r="F24" s="524"/>
      <c r="G24" s="524"/>
      <c r="H24" s="524"/>
      <c r="I24" s="524"/>
      <c r="J24" s="524"/>
      <c r="K24" s="524"/>
      <c r="L24" s="525"/>
      <c r="M24" s="515"/>
      <c r="N24" s="516"/>
      <c r="O24" s="499"/>
      <c r="P24" s="500"/>
      <c r="Q24" s="501"/>
      <c r="R24" s="21"/>
      <c r="S24" s="182"/>
      <c r="T24" s="171"/>
      <c r="U24" s="175"/>
      <c r="V24" s="27"/>
      <c r="W24" s="27"/>
      <c r="X24" s="27"/>
      <c r="Y24" s="27"/>
      <c r="Z24" s="27"/>
      <c r="AA24" s="27"/>
      <c r="AB24" s="27"/>
      <c r="AC24" s="27"/>
      <c r="AD24" s="179"/>
      <c r="AE24" s="23"/>
      <c r="AF24" s="21"/>
      <c r="AG24" s="21"/>
      <c r="AH24" s="21"/>
      <c r="AI24" s="21"/>
      <c r="AJ24" s="21"/>
      <c r="AM24" s="21"/>
      <c r="AN24" s="21"/>
      <c r="AO24" s="21"/>
      <c r="AP24" s="21"/>
      <c r="AQ24" s="21"/>
      <c r="AT24" s="21"/>
      <c r="AU24" s="21"/>
      <c r="AV24" s="21"/>
      <c r="AW24" s="21"/>
      <c r="AX24" s="21"/>
    </row>
    <row r="25" spans="1:52" ht="4.5" customHeight="1" thickTop="1" thickBot="1">
      <c r="R25" s="21"/>
      <c r="S25" s="502" t="str">
        <f>'Used Language'!C115</f>
        <v>Results</v>
      </c>
      <c r="T25" s="173"/>
      <c r="U25" s="183"/>
      <c r="V25" s="176"/>
      <c r="W25" s="176"/>
      <c r="X25" s="176"/>
      <c r="Y25" s="176"/>
      <c r="Z25" s="176"/>
      <c r="AA25" s="176"/>
      <c r="AB25" s="176"/>
      <c r="AC25" s="176"/>
      <c r="AD25" s="181"/>
      <c r="AE25" s="23"/>
      <c r="AF25" s="21"/>
      <c r="AG25" s="21"/>
      <c r="AH25" s="21"/>
      <c r="AI25" s="21"/>
      <c r="AJ25" s="21"/>
      <c r="AM25" s="21"/>
      <c r="AN25" s="21"/>
      <c r="AO25" s="21"/>
      <c r="AP25" s="21"/>
      <c r="AQ25" s="21"/>
      <c r="AT25" s="21"/>
      <c r="AU25" s="21"/>
      <c r="AV25" s="21"/>
      <c r="AW25" s="21"/>
      <c r="AX25" s="21"/>
    </row>
    <row r="26" spans="1:52" ht="25.5" customHeight="1" thickBot="1">
      <c r="R26" s="21"/>
      <c r="S26" s="503"/>
      <c r="T26" s="171" t="s">
        <v>1512</v>
      </c>
      <c r="U26" s="490" t="str">
        <f>'Used Language'!C152</f>
        <v>Water Balance in m3/year</v>
      </c>
      <c r="V26" s="491"/>
      <c r="W26" s="491"/>
      <c r="X26" s="491"/>
      <c r="Y26" s="491"/>
      <c r="Z26" s="491"/>
      <c r="AA26" s="491"/>
      <c r="AB26" s="491"/>
      <c r="AC26" s="492"/>
      <c r="AD26" s="179"/>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03"/>
      <c r="T27" s="171"/>
      <c r="U27" s="175"/>
      <c r="V27" s="27"/>
      <c r="W27" s="27"/>
      <c r="X27" s="27"/>
      <c r="Y27" s="27"/>
      <c r="Z27" s="27"/>
      <c r="AA27" s="27"/>
      <c r="AB27" s="27"/>
      <c r="AC27" s="27"/>
      <c r="AD27" s="179"/>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03"/>
      <c r="T28" s="171" t="s">
        <v>1516</v>
      </c>
      <c r="U28" s="490" t="str">
        <f>'Used Language'!C153</f>
        <v>Water Balance in m3/day</v>
      </c>
      <c r="V28" s="491"/>
      <c r="W28" s="491"/>
      <c r="X28" s="491"/>
      <c r="Y28" s="491"/>
      <c r="Z28" s="491"/>
      <c r="AA28" s="491"/>
      <c r="AB28" s="491"/>
      <c r="AC28" s="492"/>
      <c r="AD28" s="179"/>
      <c r="AE28" s="23"/>
    </row>
    <row r="29" spans="1:52" ht="4.5" customHeight="1" thickBot="1">
      <c r="B29" s="21"/>
      <c r="C29" s="21"/>
      <c r="D29" s="21"/>
      <c r="E29" s="21"/>
      <c r="F29" s="21"/>
      <c r="I29" s="21"/>
      <c r="J29" s="21"/>
      <c r="K29" s="21"/>
      <c r="L29" s="21"/>
      <c r="M29" s="21"/>
      <c r="N29" s="21"/>
      <c r="O29" s="22"/>
      <c r="Q29" s="21"/>
      <c r="S29" s="503"/>
      <c r="T29" s="171"/>
      <c r="U29" s="175"/>
      <c r="V29" s="27"/>
      <c r="W29" s="27"/>
      <c r="X29" s="27"/>
      <c r="Y29" s="27"/>
      <c r="Z29" s="27"/>
      <c r="AA29" s="27"/>
      <c r="AB29" s="27"/>
      <c r="AC29" s="27"/>
      <c r="AD29" s="179"/>
      <c r="AE29" s="23"/>
    </row>
    <row r="30" spans="1:52" ht="25.5" customHeight="1" thickBot="1">
      <c r="B30" s="537" t="s">
        <v>3050</v>
      </c>
      <c r="C30" s="537"/>
      <c r="D30" s="537"/>
      <c r="E30" s="537"/>
      <c r="F30" s="537"/>
      <c r="G30" s="537"/>
      <c r="H30" s="537"/>
      <c r="I30" s="537"/>
      <c r="J30" s="537"/>
      <c r="K30" s="537"/>
      <c r="L30" s="537"/>
      <c r="M30" s="537"/>
      <c r="N30" s="537"/>
      <c r="O30" s="537"/>
      <c r="P30" s="537"/>
      <c r="Q30" s="537"/>
      <c r="R30" s="21"/>
      <c r="S30" s="503"/>
      <c r="T30" s="171" t="s">
        <v>1521</v>
      </c>
      <c r="U30" s="490" t="str">
        <f>'Used Language'!C156</f>
        <v>Water Balance for Period</v>
      </c>
      <c r="V30" s="491"/>
      <c r="W30" s="491"/>
      <c r="X30" s="491"/>
      <c r="Y30" s="491"/>
      <c r="Z30" s="491"/>
      <c r="AA30" s="491"/>
      <c r="AB30" s="491"/>
      <c r="AC30" s="492"/>
      <c r="AD30" s="179"/>
      <c r="AE30" s="24"/>
      <c r="AF30" s="21"/>
      <c r="AG30" s="21"/>
      <c r="AH30" s="21"/>
      <c r="AI30" s="21"/>
      <c r="AL30" s="21"/>
      <c r="AM30" s="21"/>
      <c r="AN30" s="21"/>
      <c r="AO30" s="21"/>
      <c r="AP30" s="21"/>
      <c r="AS30" s="21"/>
      <c r="AT30" s="21"/>
      <c r="AU30" s="21"/>
      <c r="AV30" s="21"/>
      <c r="AW30" s="21"/>
      <c r="AZ30" s="21"/>
    </row>
    <row r="31" spans="1:52" ht="4.5" customHeight="1" thickBot="1">
      <c r="B31" s="537"/>
      <c r="C31" s="537"/>
      <c r="D31" s="537"/>
      <c r="E31" s="537"/>
      <c r="F31" s="537"/>
      <c r="G31" s="537"/>
      <c r="H31" s="537"/>
      <c r="I31" s="537"/>
      <c r="J31" s="537"/>
      <c r="K31" s="537"/>
      <c r="L31" s="537"/>
      <c r="M31" s="537"/>
      <c r="N31" s="537"/>
      <c r="O31" s="537"/>
      <c r="P31" s="537"/>
      <c r="Q31" s="537"/>
      <c r="R31" s="21"/>
      <c r="S31" s="503"/>
      <c r="T31" s="171"/>
      <c r="U31" s="175"/>
      <c r="V31" s="27"/>
      <c r="W31" s="27"/>
      <c r="X31" s="27"/>
      <c r="Y31" s="27"/>
      <c r="Z31" s="27"/>
      <c r="AA31" s="27"/>
      <c r="AB31" s="27"/>
      <c r="AC31" s="27"/>
      <c r="AD31" s="179"/>
      <c r="AE31" s="24"/>
      <c r="AF31" s="21"/>
      <c r="AG31" s="21"/>
      <c r="AH31" s="21"/>
      <c r="AI31" s="21"/>
      <c r="AL31" s="21"/>
      <c r="AM31" s="21"/>
      <c r="AN31" s="21"/>
      <c r="AO31" s="21"/>
      <c r="AP31" s="21"/>
      <c r="AS31" s="21"/>
      <c r="AT31" s="21"/>
      <c r="AU31" s="21"/>
      <c r="AV31" s="21"/>
      <c r="AW31" s="21"/>
      <c r="AZ31" s="21"/>
    </row>
    <row r="32" spans="1:52" ht="25.5" customHeight="1" thickBot="1">
      <c r="B32" s="537"/>
      <c r="C32" s="537"/>
      <c r="D32" s="537"/>
      <c r="E32" s="537"/>
      <c r="F32" s="537"/>
      <c r="G32" s="537"/>
      <c r="H32" s="537"/>
      <c r="I32" s="537"/>
      <c r="J32" s="537"/>
      <c r="K32" s="537"/>
      <c r="L32" s="537"/>
      <c r="M32" s="537"/>
      <c r="N32" s="537"/>
      <c r="O32" s="537"/>
      <c r="P32" s="537"/>
      <c r="Q32" s="537"/>
      <c r="R32" s="21"/>
      <c r="S32" s="503"/>
      <c r="T32" s="171" t="s">
        <v>1525</v>
      </c>
      <c r="U32" s="490" t="str">
        <f>'Used Language'!C7</f>
        <v>Performance Indicators</v>
      </c>
      <c r="V32" s="491"/>
      <c r="W32" s="491"/>
      <c r="X32" s="491"/>
      <c r="Y32" s="491"/>
      <c r="Z32" s="491"/>
      <c r="AA32" s="491"/>
      <c r="AB32" s="491"/>
      <c r="AC32" s="492"/>
      <c r="AD32" s="179"/>
      <c r="AE32" s="23"/>
      <c r="AF32" s="21"/>
      <c r="AG32" s="21"/>
      <c r="AH32" s="21"/>
      <c r="AI32" s="21"/>
      <c r="AJ32" s="21"/>
      <c r="AM32" s="21"/>
      <c r="AN32" s="21"/>
      <c r="AO32" s="21"/>
      <c r="AP32" s="21"/>
      <c r="AQ32" s="21"/>
      <c r="AT32" s="21"/>
      <c r="AU32" s="21"/>
      <c r="AV32" s="21"/>
      <c r="AW32" s="21"/>
      <c r="AX32" s="21"/>
    </row>
    <row r="33" spans="1:50" ht="4.5" customHeight="1" thickBot="1">
      <c r="A33" s="21"/>
      <c r="B33" s="537"/>
      <c r="C33" s="537"/>
      <c r="D33" s="537"/>
      <c r="E33" s="537"/>
      <c r="F33" s="537"/>
      <c r="G33" s="537"/>
      <c r="H33" s="537"/>
      <c r="I33" s="537"/>
      <c r="J33" s="537"/>
      <c r="K33" s="537"/>
      <c r="L33" s="537"/>
      <c r="M33" s="537"/>
      <c r="N33" s="537"/>
      <c r="O33" s="537"/>
      <c r="P33" s="537"/>
      <c r="Q33" s="537"/>
      <c r="R33" s="21"/>
      <c r="S33" s="503"/>
      <c r="T33" s="171"/>
      <c r="U33" s="175"/>
      <c r="V33" s="27"/>
      <c r="W33" s="27"/>
      <c r="X33" s="27"/>
      <c r="Y33" s="27"/>
      <c r="Z33" s="27"/>
      <c r="AA33" s="27"/>
      <c r="AB33" s="27"/>
      <c r="AC33" s="27"/>
      <c r="AD33" s="179"/>
      <c r="AE33" s="23"/>
      <c r="AF33" s="21"/>
      <c r="AG33" s="21"/>
      <c r="AH33" s="21"/>
      <c r="AI33" s="21"/>
      <c r="AJ33" s="21"/>
      <c r="AM33" s="21"/>
      <c r="AN33" s="21"/>
      <c r="AO33" s="21"/>
      <c r="AP33" s="21"/>
      <c r="AQ33" s="21"/>
      <c r="AT33" s="21"/>
      <c r="AU33" s="21"/>
      <c r="AV33" s="21"/>
      <c r="AW33" s="21"/>
      <c r="AX33" s="21"/>
    </row>
    <row r="34" spans="1:50" ht="25.5" customHeight="1" thickBot="1">
      <c r="A34" s="21"/>
      <c r="B34" s="537"/>
      <c r="C34" s="537"/>
      <c r="D34" s="537"/>
      <c r="E34" s="537"/>
      <c r="F34" s="537"/>
      <c r="G34" s="537"/>
      <c r="H34" s="537"/>
      <c r="I34" s="537"/>
      <c r="J34" s="537"/>
      <c r="K34" s="537"/>
      <c r="L34" s="537"/>
      <c r="M34" s="537"/>
      <c r="N34" s="537"/>
      <c r="O34" s="537"/>
      <c r="P34" s="537"/>
      <c r="Q34" s="537"/>
      <c r="R34" s="21"/>
      <c r="S34" s="503"/>
      <c r="T34" s="174" t="s">
        <v>1235</v>
      </c>
      <c r="U34" s="490" t="str">
        <f>'Used Language'!$C$159</f>
        <v>THE "WHAT IF" TOOL</v>
      </c>
      <c r="V34" s="491"/>
      <c r="W34" s="491"/>
      <c r="X34" s="491"/>
      <c r="Y34" s="491"/>
      <c r="Z34" s="491"/>
      <c r="AA34" s="491"/>
      <c r="AB34" s="491"/>
      <c r="AC34" s="492"/>
      <c r="AD34" s="179"/>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03"/>
      <c r="T35" s="174"/>
      <c r="U35" s="175"/>
      <c r="V35" s="27"/>
      <c r="W35" s="27"/>
      <c r="X35" s="27"/>
      <c r="Y35" s="27"/>
      <c r="Z35" s="27"/>
      <c r="AA35" s="27"/>
      <c r="AB35" s="27"/>
      <c r="AC35" s="27"/>
      <c r="AD35" s="179"/>
      <c r="AE35" s="23"/>
      <c r="AF35" s="21"/>
      <c r="AG35" s="21"/>
      <c r="AH35" s="21"/>
      <c r="AI35" s="21"/>
      <c r="AJ35" s="21"/>
      <c r="AM35" s="21"/>
      <c r="AN35" s="21"/>
      <c r="AO35" s="21"/>
      <c r="AP35" s="21"/>
      <c r="AQ35" s="21"/>
      <c r="AT35" s="21"/>
      <c r="AU35" s="21"/>
      <c r="AV35" s="21"/>
      <c r="AW35" s="21"/>
      <c r="AX35" s="21"/>
    </row>
    <row r="36" spans="1:50" ht="25.5" customHeight="1" thickBot="1">
      <c r="A36" s="21"/>
      <c r="B36" s="529" t="s">
        <v>3052</v>
      </c>
      <c r="C36" s="530"/>
      <c r="D36" s="530"/>
      <c r="E36" s="530"/>
      <c r="F36" s="530"/>
      <c r="G36" s="527" t="s">
        <v>3051</v>
      </c>
      <c r="H36" s="527"/>
      <c r="I36" s="527"/>
      <c r="J36" s="527"/>
      <c r="K36" s="527"/>
      <c r="L36" s="527"/>
      <c r="M36" s="527"/>
      <c r="N36" s="527"/>
      <c r="O36" s="527"/>
      <c r="P36" s="527"/>
      <c r="Q36" s="533"/>
      <c r="R36" s="21"/>
      <c r="S36" s="503"/>
      <c r="T36" s="174" t="s">
        <v>678</v>
      </c>
      <c r="U36" s="490" t="str">
        <f>'Used Language'!C199</f>
        <v>Historic data</v>
      </c>
      <c r="V36" s="491"/>
      <c r="W36" s="491"/>
      <c r="X36" s="491"/>
      <c r="Y36" s="491"/>
      <c r="Z36" s="491"/>
      <c r="AA36" s="491"/>
      <c r="AB36" s="491"/>
      <c r="AC36" s="492"/>
      <c r="AD36" s="179"/>
      <c r="AE36" s="23"/>
      <c r="AF36" s="21"/>
      <c r="AG36" s="21"/>
      <c r="AH36" s="21"/>
      <c r="AI36" s="21"/>
      <c r="AJ36" s="21"/>
      <c r="AM36" s="21"/>
      <c r="AN36" s="21"/>
      <c r="AO36" s="21"/>
      <c r="AP36" s="21"/>
      <c r="AQ36" s="21"/>
      <c r="AT36" s="21"/>
      <c r="AU36" s="21"/>
      <c r="AV36" s="21"/>
      <c r="AW36" s="21"/>
      <c r="AX36" s="21"/>
    </row>
    <row r="37" spans="1:50" ht="4.5" customHeight="1" thickBot="1">
      <c r="A37" s="21"/>
      <c r="B37" s="531"/>
      <c r="C37" s="532"/>
      <c r="D37" s="532"/>
      <c r="E37" s="532"/>
      <c r="F37" s="532"/>
      <c r="G37" s="528"/>
      <c r="H37" s="528"/>
      <c r="I37" s="528"/>
      <c r="J37" s="528"/>
      <c r="K37" s="528"/>
      <c r="L37" s="528"/>
      <c r="M37" s="528"/>
      <c r="N37" s="528"/>
      <c r="O37" s="528"/>
      <c r="P37" s="528"/>
      <c r="Q37" s="534"/>
      <c r="S37" s="504"/>
      <c r="T37" s="172"/>
      <c r="U37" s="184"/>
      <c r="V37" s="185"/>
      <c r="W37" s="185"/>
      <c r="X37" s="185"/>
      <c r="Y37" s="185"/>
      <c r="Z37" s="185"/>
      <c r="AA37" s="185"/>
      <c r="AB37" s="185"/>
      <c r="AC37" s="185"/>
      <c r="AD37" s="180"/>
      <c r="AE37" s="29"/>
    </row>
    <row r="38" spans="1:50" ht="4.5" customHeight="1" thickTop="1">
      <c r="A38" s="21"/>
      <c r="S38" s="30"/>
      <c r="T38" s="165"/>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6"/>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6"/>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6"/>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6"/>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6"/>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6"/>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6"/>
      <c r="U46" s="21"/>
      <c r="X46" s="21"/>
      <c r="Y46" s="21"/>
      <c r="Z46" s="21"/>
      <c r="AA46" s="21"/>
      <c r="AB46" s="21"/>
      <c r="AE46" s="21"/>
      <c r="AF46" s="21"/>
      <c r="AG46" s="21"/>
      <c r="AH46" s="21"/>
      <c r="AI46" s="21"/>
      <c r="AJ46" s="21"/>
      <c r="AM46" s="21"/>
      <c r="AN46" s="21"/>
      <c r="AO46" s="21"/>
      <c r="AP46" s="21"/>
      <c r="AQ46" s="21"/>
      <c r="AT46" s="21"/>
      <c r="AU46" s="21"/>
      <c r="AV46" s="21"/>
      <c r="AW46" s="21"/>
      <c r="AX46" s="21"/>
    </row>
  </sheetData>
  <sheetProtection algorithmName="SHA-512" hashValue="p2zd15Elfs77Fg7BAoZ7/wPXbYu6JSXGC6/deWMBj6aTd3MykK8TLp6vbYS7WLrwHN1DSaBsnhCWcZSsjqYCHw==" saltValue="s5ARJfIXISJrJ7mAW+r4bA==" spinCount="100000" sheet="1" objects="1" scenarios="1"/>
  <mergeCells count="32">
    <mergeCell ref="G36:L37"/>
    <mergeCell ref="B36:F37"/>
    <mergeCell ref="M36:Q37"/>
    <mergeCell ref="B7:Q11"/>
    <mergeCell ref="B30:Q34"/>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U26:AC26"/>
    <mergeCell ref="U19:AC19"/>
    <mergeCell ref="U21:AC21"/>
    <mergeCell ref="U23:AC23"/>
    <mergeCell ref="O21:Q24"/>
    <mergeCell ref="S25:S37"/>
    <mergeCell ref="U28:AC28"/>
    <mergeCell ref="U30:AC30"/>
    <mergeCell ref="U32:AC32"/>
    <mergeCell ref="U34:AC34"/>
    <mergeCell ref="U36:AC36"/>
  </mergeCells>
  <phoneticPr fontId="7" type="noConversion"/>
  <hyperlinks>
    <hyperlink ref="U3" location="'Getting Started'!A1" display="Getting Started"/>
    <hyperlink ref="U11" location="Network!A1" display="Network Data"/>
    <hyperlink ref="U17" location="'Billed Cons'!A1" display="Billed Consumption"/>
    <hyperlink ref="U19" location="'Unb. Cons.'!A1" display="Unbilled Consumption"/>
    <hyperlink ref="U26" location="'Unauth. Cons.'!A1" display="Unauthorized Consumption"/>
    <hyperlink ref="U28" location="'Meter Errors'!A1" display="Meter Underregistration and Data Handlig Errors"/>
    <hyperlink ref="U34" location="Language!A1" display="Change Language"/>
    <hyperlink ref="U15" location="'Sys. Input + Financial Data'!A1" display="System Input Volume and Finacial Data"/>
    <hyperlink ref="U13" location="'Pressure &amp; Suppl. Time'!A1" display="Pressure and Supply Time"/>
    <hyperlink ref="U28:AB28" location="'Water Balance m3day'!Druckbereich" display="'Water Balance m3day'!Druckbereich"/>
    <hyperlink ref="U7" location="'Sys. Input + Financial Data'!A1" display="System Input Volume and Finacial Data"/>
    <hyperlink ref="U9" location="'Billed Cons'!A1" display="Billed Consumption"/>
    <hyperlink ref="U11:AB11" location="'Unb. Cons.'!A1" display="'Unb. Cons.'!A1"/>
    <hyperlink ref="U13:AB13" location="'Unauth. Cons.'!A1" display="'Unauth. Cons.'!A1"/>
    <hyperlink ref="U15:AB15" location="'Meter Errors'!A1" display="'Meter Errors'!A1"/>
    <hyperlink ref="U17:AB17" location="Network!A1" display="Network!A1"/>
    <hyperlink ref="U26:AB26" location="'Water Balance m3year'!Druckbereich" display="'Water Balance m3year'!Druckbereich"/>
    <hyperlink ref="U5" location="'Meter Errors'!A1" display="Meter Underregistration and Data Handlig Errors"/>
    <hyperlink ref="U19:AB19" location="Pressure!A1" display="Pressure!A1"/>
    <hyperlink ref="U5:AB5" location="'Language 1'!A1" display="'Language 1'!A1"/>
    <hyperlink ref="U34:AB34" location="Charts!A1" display="Charts!A1"/>
    <hyperlink ref="U7:AB7" location="'Sys. Input'!A1" display="'Sys. Input'!A1"/>
    <hyperlink ref="U23:AB23" location="'Financial Data'!A1" display="'Financial Data'!A1"/>
    <hyperlink ref="U21:AB21" location="'Intermittent Supply'!A1" display="'Intermittent Supply'!A1"/>
    <hyperlink ref="U32" location="'Meter Errors'!A1" display="Meter Underregistration and Data Handlig Errors"/>
    <hyperlink ref="U32:AB32" location="PIs!A1" display="='Used Language'!C7"/>
    <hyperlink ref="U30" location="'Unauth. Cons.'!A1" display="Unauthorized Consumption"/>
    <hyperlink ref="U30:AB30" location="'Water Balance m3'!A1" display="'Water Balance m3'!A1"/>
    <hyperlink ref="U26:AC26" location="'Water Balance m3year'!A1" display="'Water Balance m3year'!A1"/>
    <hyperlink ref="U28:AC28" location="'Water Balance m3day'!A1" display="'Water Balance m3day'!A1"/>
    <hyperlink ref="U34:AC34" location="'WHAT IF'!A1" display="THE WHAT IF TOOL"/>
    <hyperlink ref="U36:AC36" location="'Historic Data'!A1" display="Historic Data"/>
    <hyperlink ref="G36" r:id="rId1" display="www.liemberger.cc"/>
  </hyperlinks>
  <pageMargins left="0.78740157499999996" right="0.78740157499999996" top="0.984251969" bottom="0.984251969" header="0.4921259845" footer="0.4921259845"/>
  <pageSetup paperSize="9" scale="88"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1:M79"/>
  <sheetViews>
    <sheetView workbookViewId="0">
      <selection activeCell="B4" sqref="B4"/>
    </sheetView>
  </sheetViews>
  <sheetFormatPr baseColWidth="10" defaultColWidth="11.453125" defaultRowHeight="14.5"/>
  <cols>
    <col min="1" max="1" width="2.26953125" style="14" customWidth="1"/>
    <col min="2" max="2" width="39.453125" style="23" customWidth="1"/>
    <col min="3" max="3" width="2.1796875" style="23" customWidth="1"/>
    <col min="4" max="4" width="14.26953125" style="23" customWidth="1"/>
    <col min="5" max="5" width="2.1796875" style="23" customWidth="1"/>
    <col min="6" max="6" width="18" style="23" customWidth="1"/>
    <col min="7" max="7" width="2.1796875" style="14" customWidth="1"/>
    <col min="8" max="8" width="16.453125" style="14" customWidth="1"/>
    <col min="9" max="9" width="2.26953125" style="15" hidden="1" customWidth="1"/>
    <col min="10" max="12" width="11.453125" style="15" hidden="1" customWidth="1"/>
    <col min="13" max="16384" width="11.453125" style="14"/>
  </cols>
  <sheetData>
    <row r="1" spans="2:13" ht="5.25" customHeight="1"/>
    <row r="2" spans="2:13" s="16" customFormat="1" ht="22.5" customHeight="1">
      <c r="B2" s="542" t="str">
        <f>'Used Language'!C16</f>
        <v>System Input Volume</v>
      </c>
      <c r="C2" s="543"/>
      <c r="D2" s="543"/>
      <c r="E2" s="543"/>
      <c r="F2" s="544"/>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39" t="str">
        <f>'Used Language'!C128</f>
        <v>Home</v>
      </c>
      <c r="I4" s="540"/>
      <c r="J4" s="540"/>
      <c r="K4" s="540"/>
      <c r="L4" s="540"/>
      <c r="M4" s="541"/>
    </row>
    <row r="5" spans="2:13" ht="6" customHeight="1" thickTop="1">
      <c r="I5" s="14"/>
      <c r="J5" s="14"/>
      <c r="K5" s="14"/>
      <c r="L5" s="14"/>
    </row>
    <row r="6" spans="2:13" s="23" customFormat="1" ht="12.75" customHeight="1">
      <c r="B6" s="430"/>
      <c r="D6" s="431"/>
      <c r="F6" s="432"/>
      <c r="G6" s="37"/>
      <c r="I6" s="45"/>
      <c r="J6" s="45">
        <f t="shared" ref="J6:J37" si="0">D6*F6/1.96</f>
        <v>0</v>
      </c>
      <c r="K6" s="538">
        <f t="shared" ref="K6:K37" si="1">J6*J6</f>
        <v>0</v>
      </c>
      <c r="L6" s="538"/>
      <c r="M6" s="433"/>
    </row>
    <row r="7" spans="2:13" s="23" customFormat="1" ht="12.75" customHeight="1">
      <c r="B7" s="72"/>
      <c r="D7" s="40"/>
      <c r="F7" s="46"/>
      <c r="G7" s="37"/>
      <c r="I7" s="45"/>
      <c r="J7" s="45">
        <f t="shared" si="0"/>
        <v>0</v>
      </c>
      <c r="K7" s="538">
        <f t="shared" si="1"/>
        <v>0</v>
      </c>
      <c r="L7" s="538"/>
      <c r="M7" s="433"/>
    </row>
    <row r="8" spans="2:13" s="23" customFormat="1" ht="12.75" customHeight="1">
      <c r="B8" s="72"/>
      <c r="D8" s="40"/>
      <c r="F8" s="46"/>
      <c r="G8" s="37"/>
      <c r="I8" s="45"/>
      <c r="J8" s="45">
        <f t="shared" si="0"/>
        <v>0</v>
      </c>
      <c r="K8" s="538">
        <f t="shared" si="1"/>
        <v>0</v>
      </c>
      <c r="L8" s="538"/>
      <c r="M8" s="433"/>
    </row>
    <row r="9" spans="2:13" s="23" customFormat="1" ht="12.75" customHeight="1">
      <c r="B9" s="72"/>
      <c r="D9" s="40"/>
      <c r="F9" s="46"/>
      <c r="G9" s="37"/>
      <c r="I9" s="45"/>
      <c r="J9" s="45">
        <f t="shared" si="0"/>
        <v>0</v>
      </c>
      <c r="K9" s="538">
        <f t="shared" si="1"/>
        <v>0</v>
      </c>
      <c r="L9" s="538"/>
      <c r="M9" s="433"/>
    </row>
    <row r="10" spans="2:13" s="23" customFormat="1" ht="12.75" customHeight="1">
      <c r="B10" s="72"/>
      <c r="D10" s="40"/>
      <c r="F10" s="46"/>
      <c r="G10" s="37"/>
      <c r="I10" s="45"/>
      <c r="J10" s="45">
        <f t="shared" si="0"/>
        <v>0</v>
      </c>
      <c r="K10" s="538">
        <f t="shared" si="1"/>
        <v>0</v>
      </c>
      <c r="L10" s="538"/>
      <c r="M10" s="433"/>
    </row>
    <row r="11" spans="2:13" s="23" customFormat="1" ht="12.75" customHeight="1">
      <c r="B11" s="72"/>
      <c r="D11" s="40"/>
      <c r="F11" s="46"/>
      <c r="G11" s="37"/>
      <c r="I11" s="45"/>
      <c r="J11" s="45">
        <f t="shared" si="0"/>
        <v>0</v>
      </c>
      <c r="K11" s="538">
        <f t="shared" si="1"/>
        <v>0</v>
      </c>
      <c r="L11" s="538"/>
      <c r="M11" s="433"/>
    </row>
    <row r="12" spans="2:13" s="23" customFormat="1" ht="12.75" customHeight="1">
      <c r="B12" s="72"/>
      <c r="D12" s="40"/>
      <c r="F12" s="46"/>
      <c r="G12" s="37"/>
      <c r="I12" s="45"/>
      <c r="J12" s="45">
        <f t="shared" si="0"/>
        <v>0</v>
      </c>
      <c r="K12" s="538">
        <f t="shared" si="1"/>
        <v>0</v>
      </c>
      <c r="L12" s="538"/>
      <c r="M12" s="433"/>
    </row>
    <row r="13" spans="2:13" s="23" customFormat="1" ht="12.75" customHeight="1">
      <c r="B13" s="72"/>
      <c r="D13" s="40"/>
      <c r="F13" s="46"/>
      <c r="G13" s="37"/>
      <c r="I13" s="45"/>
      <c r="J13" s="45">
        <f t="shared" si="0"/>
        <v>0</v>
      </c>
      <c r="K13" s="538">
        <f t="shared" si="1"/>
        <v>0</v>
      </c>
      <c r="L13" s="538"/>
      <c r="M13" s="433"/>
    </row>
    <row r="14" spans="2:13" s="23" customFormat="1" ht="12.75" customHeight="1">
      <c r="B14" s="72"/>
      <c r="D14" s="40"/>
      <c r="F14" s="46"/>
      <c r="G14" s="37"/>
      <c r="I14" s="45"/>
      <c r="J14" s="45">
        <f t="shared" si="0"/>
        <v>0</v>
      </c>
      <c r="K14" s="538">
        <f t="shared" si="1"/>
        <v>0</v>
      </c>
      <c r="L14" s="538"/>
      <c r="M14" s="433"/>
    </row>
    <row r="15" spans="2:13" s="23" customFormat="1" ht="12.75" customHeight="1">
      <c r="B15" s="72"/>
      <c r="D15" s="40"/>
      <c r="F15" s="46"/>
      <c r="G15" s="37"/>
      <c r="I15" s="45"/>
      <c r="J15" s="45">
        <f t="shared" si="0"/>
        <v>0</v>
      </c>
      <c r="K15" s="538">
        <f t="shared" si="1"/>
        <v>0</v>
      </c>
      <c r="L15" s="538"/>
      <c r="M15" s="433"/>
    </row>
    <row r="16" spans="2:13" s="23" customFormat="1" ht="12.75" customHeight="1">
      <c r="B16" s="72"/>
      <c r="D16" s="40"/>
      <c r="F16" s="46"/>
      <c r="G16" s="37"/>
      <c r="I16" s="45"/>
      <c r="J16" s="45">
        <f t="shared" si="0"/>
        <v>0</v>
      </c>
      <c r="K16" s="538">
        <f t="shared" si="1"/>
        <v>0</v>
      </c>
      <c r="L16" s="538"/>
      <c r="M16" s="433"/>
    </row>
    <row r="17" spans="2:13" s="23" customFormat="1" ht="12.75" customHeight="1">
      <c r="B17" s="72"/>
      <c r="D17" s="40"/>
      <c r="F17" s="46"/>
      <c r="G17" s="37"/>
      <c r="I17" s="45"/>
      <c r="J17" s="45">
        <f t="shared" si="0"/>
        <v>0</v>
      </c>
      <c r="K17" s="538">
        <f t="shared" si="1"/>
        <v>0</v>
      </c>
      <c r="L17" s="538"/>
      <c r="M17" s="433"/>
    </row>
    <row r="18" spans="2:13" s="23" customFormat="1" ht="12.75" customHeight="1">
      <c r="B18" s="72"/>
      <c r="D18" s="40"/>
      <c r="F18" s="46"/>
      <c r="G18" s="37"/>
      <c r="I18" s="45"/>
      <c r="J18" s="45">
        <f t="shared" si="0"/>
        <v>0</v>
      </c>
      <c r="K18" s="538">
        <f t="shared" si="1"/>
        <v>0</v>
      </c>
      <c r="L18" s="538"/>
      <c r="M18" s="433"/>
    </row>
    <row r="19" spans="2:13" s="23" customFormat="1" ht="12.75" customHeight="1">
      <c r="B19" s="72"/>
      <c r="D19" s="40"/>
      <c r="F19" s="46"/>
      <c r="G19" s="37"/>
      <c r="I19" s="45"/>
      <c r="J19" s="45">
        <f t="shared" si="0"/>
        <v>0</v>
      </c>
      <c r="K19" s="538">
        <f t="shared" si="1"/>
        <v>0</v>
      </c>
      <c r="L19" s="538"/>
      <c r="M19" s="433"/>
    </row>
    <row r="20" spans="2:13" s="23" customFormat="1" ht="12.75" customHeight="1">
      <c r="B20" s="72"/>
      <c r="D20" s="40"/>
      <c r="F20" s="46"/>
      <c r="G20" s="37"/>
      <c r="I20" s="45"/>
      <c r="J20" s="45">
        <f t="shared" si="0"/>
        <v>0</v>
      </c>
      <c r="K20" s="538">
        <f t="shared" si="1"/>
        <v>0</v>
      </c>
      <c r="L20" s="538"/>
      <c r="M20" s="433"/>
    </row>
    <row r="21" spans="2:13" s="23" customFormat="1" ht="12.75" customHeight="1">
      <c r="B21" s="72"/>
      <c r="D21" s="40"/>
      <c r="F21" s="46"/>
      <c r="G21" s="37"/>
      <c r="I21" s="45"/>
      <c r="J21" s="45">
        <f t="shared" si="0"/>
        <v>0</v>
      </c>
      <c r="K21" s="538">
        <f t="shared" si="1"/>
        <v>0</v>
      </c>
      <c r="L21" s="538"/>
      <c r="M21" s="433"/>
    </row>
    <row r="22" spans="2:13" s="23" customFormat="1" ht="12.75" customHeight="1">
      <c r="B22" s="72"/>
      <c r="D22" s="40"/>
      <c r="F22" s="46"/>
      <c r="G22" s="37"/>
      <c r="I22" s="45"/>
      <c r="J22" s="45">
        <f t="shared" si="0"/>
        <v>0</v>
      </c>
      <c r="K22" s="538">
        <f t="shared" si="1"/>
        <v>0</v>
      </c>
      <c r="L22" s="538"/>
      <c r="M22" s="433"/>
    </row>
    <row r="23" spans="2:13" s="23" customFormat="1" ht="12.75" customHeight="1">
      <c r="B23" s="39"/>
      <c r="D23" s="40"/>
      <c r="F23" s="46"/>
      <c r="G23" s="37"/>
      <c r="I23" s="45"/>
      <c r="J23" s="45">
        <f t="shared" si="0"/>
        <v>0</v>
      </c>
      <c r="K23" s="538">
        <f t="shared" si="1"/>
        <v>0</v>
      </c>
      <c r="L23" s="538"/>
      <c r="M23" s="433"/>
    </row>
    <row r="24" spans="2:13" s="23" customFormat="1" ht="12.75" customHeight="1">
      <c r="B24" s="39"/>
      <c r="D24" s="40"/>
      <c r="F24" s="46"/>
      <c r="G24" s="37"/>
      <c r="I24" s="45"/>
      <c r="J24" s="45">
        <f t="shared" si="0"/>
        <v>0</v>
      </c>
      <c r="K24" s="538">
        <f t="shared" si="1"/>
        <v>0</v>
      </c>
      <c r="L24" s="538"/>
      <c r="M24" s="433"/>
    </row>
    <row r="25" spans="2:13" s="23" customFormat="1" ht="12.75" customHeight="1">
      <c r="B25" s="39"/>
      <c r="D25" s="40"/>
      <c r="F25" s="46"/>
      <c r="G25" s="37"/>
      <c r="I25" s="45"/>
      <c r="J25" s="45">
        <f t="shared" si="0"/>
        <v>0</v>
      </c>
      <c r="K25" s="538">
        <f t="shared" si="1"/>
        <v>0</v>
      </c>
      <c r="L25" s="538"/>
      <c r="M25" s="433"/>
    </row>
    <row r="26" spans="2:13" s="23" customFormat="1" ht="12.75" customHeight="1">
      <c r="B26" s="39"/>
      <c r="D26" s="40"/>
      <c r="F26" s="46"/>
      <c r="G26" s="37"/>
      <c r="I26" s="45"/>
      <c r="J26" s="45">
        <f t="shared" si="0"/>
        <v>0</v>
      </c>
      <c r="K26" s="538">
        <f t="shared" si="1"/>
        <v>0</v>
      </c>
      <c r="L26" s="538"/>
      <c r="M26" s="433"/>
    </row>
    <row r="27" spans="2:13" s="23" customFormat="1" ht="12.75" customHeight="1">
      <c r="B27" s="39"/>
      <c r="D27" s="40"/>
      <c r="F27" s="46"/>
      <c r="G27" s="37"/>
      <c r="I27" s="45"/>
      <c r="J27" s="45">
        <f t="shared" si="0"/>
        <v>0</v>
      </c>
      <c r="K27" s="538">
        <f t="shared" si="1"/>
        <v>0</v>
      </c>
      <c r="L27" s="538"/>
      <c r="M27" s="433"/>
    </row>
    <row r="28" spans="2:13" s="23" customFormat="1" ht="12.75" customHeight="1">
      <c r="B28" s="39"/>
      <c r="D28" s="40"/>
      <c r="F28" s="46"/>
      <c r="G28" s="37"/>
      <c r="I28" s="45"/>
      <c r="J28" s="45">
        <f t="shared" si="0"/>
        <v>0</v>
      </c>
      <c r="K28" s="538">
        <f t="shared" si="1"/>
        <v>0</v>
      </c>
      <c r="L28" s="538"/>
      <c r="M28" s="433"/>
    </row>
    <row r="29" spans="2:13" s="23" customFormat="1" ht="12.75" customHeight="1">
      <c r="B29" s="39"/>
      <c r="D29" s="40"/>
      <c r="F29" s="46"/>
      <c r="G29" s="37"/>
      <c r="I29" s="45"/>
      <c r="J29" s="45">
        <f t="shared" si="0"/>
        <v>0</v>
      </c>
      <c r="K29" s="538">
        <f t="shared" si="1"/>
        <v>0</v>
      </c>
      <c r="L29" s="538"/>
      <c r="M29" s="433"/>
    </row>
    <row r="30" spans="2:13" s="23" customFormat="1" ht="12.75" customHeight="1">
      <c r="B30" s="39"/>
      <c r="D30" s="40"/>
      <c r="F30" s="46"/>
      <c r="G30" s="37"/>
      <c r="I30" s="45"/>
      <c r="J30" s="45">
        <f t="shared" si="0"/>
        <v>0</v>
      </c>
      <c r="K30" s="538">
        <f t="shared" si="1"/>
        <v>0</v>
      </c>
      <c r="L30" s="538"/>
      <c r="M30" s="433"/>
    </row>
    <row r="31" spans="2:13" s="23" customFormat="1" ht="12.75" customHeight="1">
      <c r="B31" s="39"/>
      <c r="D31" s="40"/>
      <c r="F31" s="46"/>
      <c r="G31" s="37"/>
      <c r="I31" s="45"/>
      <c r="J31" s="45">
        <f t="shared" si="0"/>
        <v>0</v>
      </c>
      <c r="K31" s="538">
        <f t="shared" si="1"/>
        <v>0</v>
      </c>
      <c r="L31" s="538"/>
      <c r="M31" s="433"/>
    </row>
    <row r="32" spans="2:13" s="23" customFormat="1" ht="12.75" customHeight="1">
      <c r="B32" s="39"/>
      <c r="D32" s="40"/>
      <c r="F32" s="46"/>
      <c r="G32" s="37"/>
      <c r="I32" s="45"/>
      <c r="J32" s="45">
        <f t="shared" si="0"/>
        <v>0</v>
      </c>
      <c r="K32" s="538">
        <f t="shared" si="1"/>
        <v>0</v>
      </c>
      <c r="L32" s="538"/>
      <c r="M32" s="433"/>
    </row>
    <row r="33" spans="2:13" s="23" customFormat="1" ht="12.75" customHeight="1">
      <c r="B33" s="39"/>
      <c r="D33" s="40"/>
      <c r="F33" s="46"/>
      <c r="G33" s="37"/>
      <c r="I33" s="45"/>
      <c r="J33" s="45">
        <f t="shared" si="0"/>
        <v>0</v>
      </c>
      <c r="K33" s="538">
        <f t="shared" si="1"/>
        <v>0</v>
      </c>
      <c r="L33" s="538"/>
      <c r="M33" s="433"/>
    </row>
    <row r="34" spans="2:13" s="23" customFormat="1">
      <c r="B34" s="39"/>
      <c r="D34" s="40"/>
      <c r="F34" s="46"/>
      <c r="G34" s="37"/>
      <c r="I34" s="45"/>
      <c r="J34" s="45">
        <f t="shared" si="0"/>
        <v>0</v>
      </c>
      <c r="K34" s="538">
        <f t="shared" si="1"/>
        <v>0</v>
      </c>
      <c r="L34" s="538"/>
      <c r="M34" s="433"/>
    </row>
    <row r="35" spans="2:13" s="23" customFormat="1">
      <c r="B35" s="39"/>
      <c r="D35" s="40"/>
      <c r="F35" s="46"/>
      <c r="G35" s="37"/>
      <c r="I35" s="45"/>
      <c r="J35" s="45">
        <f t="shared" si="0"/>
        <v>0</v>
      </c>
      <c r="K35" s="538">
        <f t="shared" si="1"/>
        <v>0</v>
      </c>
      <c r="L35" s="538"/>
      <c r="M35" s="433"/>
    </row>
    <row r="36" spans="2:13" s="23" customFormat="1">
      <c r="B36" s="39"/>
      <c r="D36" s="40"/>
      <c r="F36" s="46"/>
      <c r="G36" s="37"/>
      <c r="I36" s="45"/>
      <c r="J36" s="45">
        <f t="shared" si="0"/>
        <v>0</v>
      </c>
      <c r="K36" s="538">
        <f t="shared" si="1"/>
        <v>0</v>
      </c>
      <c r="L36" s="538"/>
      <c r="M36" s="433"/>
    </row>
    <row r="37" spans="2:13" s="23" customFormat="1">
      <c r="B37" s="39"/>
      <c r="D37" s="40"/>
      <c r="F37" s="46"/>
      <c r="G37" s="37"/>
      <c r="I37" s="45"/>
      <c r="J37" s="45">
        <f t="shared" si="0"/>
        <v>0</v>
      </c>
      <c r="K37" s="538">
        <f t="shared" si="1"/>
        <v>0</v>
      </c>
      <c r="L37" s="538"/>
      <c r="M37" s="433"/>
    </row>
    <row r="38" spans="2:13" s="23" customFormat="1">
      <c r="B38" s="39"/>
      <c r="D38" s="40"/>
      <c r="F38" s="46"/>
      <c r="G38" s="37"/>
      <c r="I38" s="45"/>
      <c r="J38" s="45">
        <f t="shared" ref="J38:J70" si="2">D38*F38/1.96</f>
        <v>0</v>
      </c>
      <c r="K38" s="538">
        <f t="shared" ref="K38:K69" si="3">J38*J38</f>
        <v>0</v>
      </c>
      <c r="L38" s="538"/>
      <c r="M38" s="433"/>
    </row>
    <row r="39" spans="2:13" s="23" customFormat="1">
      <c r="B39" s="39"/>
      <c r="D39" s="40"/>
      <c r="F39" s="46"/>
      <c r="G39" s="37"/>
      <c r="I39" s="45"/>
      <c r="J39" s="45">
        <f t="shared" si="2"/>
        <v>0</v>
      </c>
      <c r="K39" s="538">
        <f t="shared" si="3"/>
        <v>0</v>
      </c>
      <c r="L39" s="538"/>
      <c r="M39" s="433"/>
    </row>
    <row r="40" spans="2:13" s="23" customFormat="1">
      <c r="B40" s="39"/>
      <c r="D40" s="40"/>
      <c r="F40" s="46"/>
      <c r="G40" s="37"/>
      <c r="I40" s="45"/>
      <c r="J40" s="45">
        <f t="shared" si="2"/>
        <v>0</v>
      </c>
      <c r="K40" s="538">
        <f t="shared" si="3"/>
        <v>0</v>
      </c>
      <c r="L40" s="538"/>
      <c r="M40" s="433"/>
    </row>
    <row r="41" spans="2:13" s="23" customFormat="1">
      <c r="B41" s="39"/>
      <c r="D41" s="40"/>
      <c r="F41" s="46"/>
      <c r="G41" s="37"/>
      <c r="I41" s="45"/>
      <c r="J41" s="45">
        <f t="shared" si="2"/>
        <v>0</v>
      </c>
      <c r="K41" s="538">
        <f t="shared" si="3"/>
        <v>0</v>
      </c>
      <c r="L41" s="538"/>
      <c r="M41" s="433"/>
    </row>
    <row r="42" spans="2:13" s="23" customFormat="1">
      <c r="B42" s="39"/>
      <c r="D42" s="40"/>
      <c r="F42" s="46"/>
      <c r="G42" s="37"/>
      <c r="I42" s="45"/>
      <c r="J42" s="45">
        <f t="shared" si="2"/>
        <v>0</v>
      </c>
      <c r="K42" s="538">
        <f t="shared" si="3"/>
        <v>0</v>
      </c>
      <c r="L42" s="538"/>
      <c r="M42" s="433"/>
    </row>
    <row r="43" spans="2:13" s="23" customFormat="1">
      <c r="B43" s="39"/>
      <c r="D43" s="40"/>
      <c r="F43" s="46"/>
      <c r="G43" s="37"/>
      <c r="I43" s="45"/>
      <c r="J43" s="45">
        <f t="shared" si="2"/>
        <v>0</v>
      </c>
      <c r="K43" s="538">
        <f t="shared" si="3"/>
        <v>0</v>
      </c>
      <c r="L43" s="538"/>
      <c r="M43" s="433"/>
    </row>
    <row r="44" spans="2:13" s="23" customFormat="1">
      <c r="B44" s="39"/>
      <c r="D44" s="40"/>
      <c r="F44" s="46"/>
      <c r="G44" s="37"/>
      <c r="I44" s="45"/>
      <c r="J44" s="45">
        <f t="shared" si="2"/>
        <v>0</v>
      </c>
      <c r="K44" s="538">
        <f t="shared" si="3"/>
        <v>0</v>
      </c>
      <c r="L44" s="538"/>
      <c r="M44" s="433"/>
    </row>
    <row r="45" spans="2:13" s="23" customFormat="1">
      <c r="B45" s="39"/>
      <c r="D45" s="40"/>
      <c r="F45" s="46"/>
      <c r="G45" s="37"/>
      <c r="I45" s="45"/>
      <c r="J45" s="45">
        <f t="shared" si="2"/>
        <v>0</v>
      </c>
      <c r="K45" s="538">
        <f t="shared" si="3"/>
        <v>0</v>
      </c>
      <c r="L45" s="538"/>
      <c r="M45" s="433"/>
    </row>
    <row r="46" spans="2:13" s="23" customFormat="1">
      <c r="B46" s="39"/>
      <c r="D46" s="40"/>
      <c r="F46" s="46"/>
      <c r="G46" s="37"/>
      <c r="I46" s="45"/>
      <c r="J46" s="45">
        <f t="shared" si="2"/>
        <v>0</v>
      </c>
      <c r="K46" s="538">
        <f t="shared" si="3"/>
        <v>0</v>
      </c>
      <c r="L46" s="538"/>
      <c r="M46" s="433"/>
    </row>
    <row r="47" spans="2:13" s="23" customFormat="1">
      <c r="B47" s="39"/>
      <c r="D47" s="40"/>
      <c r="F47" s="46"/>
      <c r="G47" s="37"/>
      <c r="I47" s="45"/>
      <c r="J47" s="45">
        <f t="shared" si="2"/>
        <v>0</v>
      </c>
      <c r="K47" s="538">
        <f t="shared" si="3"/>
        <v>0</v>
      </c>
      <c r="L47" s="538"/>
      <c r="M47" s="433"/>
    </row>
    <row r="48" spans="2:13" s="23" customFormat="1">
      <c r="B48" s="39"/>
      <c r="D48" s="40"/>
      <c r="F48" s="46"/>
      <c r="G48" s="37"/>
      <c r="I48" s="45"/>
      <c r="J48" s="45">
        <f t="shared" si="2"/>
        <v>0</v>
      </c>
      <c r="K48" s="538">
        <f t="shared" si="3"/>
        <v>0</v>
      </c>
      <c r="L48" s="538"/>
      <c r="M48" s="433"/>
    </row>
    <row r="49" spans="2:13" s="23" customFormat="1">
      <c r="B49" s="39"/>
      <c r="D49" s="40"/>
      <c r="F49" s="46"/>
      <c r="G49" s="37"/>
      <c r="I49" s="45"/>
      <c r="J49" s="45">
        <f t="shared" si="2"/>
        <v>0</v>
      </c>
      <c r="K49" s="538">
        <f t="shared" si="3"/>
        <v>0</v>
      </c>
      <c r="L49" s="538"/>
      <c r="M49" s="433"/>
    </row>
    <row r="50" spans="2:13" s="23" customFormat="1">
      <c r="B50" s="39"/>
      <c r="D50" s="40"/>
      <c r="F50" s="46"/>
      <c r="G50" s="37"/>
      <c r="I50" s="45"/>
      <c r="J50" s="45">
        <f t="shared" si="2"/>
        <v>0</v>
      </c>
      <c r="K50" s="538">
        <f t="shared" si="3"/>
        <v>0</v>
      </c>
      <c r="L50" s="538"/>
      <c r="M50" s="433"/>
    </row>
    <row r="51" spans="2:13" s="23" customFormat="1">
      <c r="B51" s="72"/>
      <c r="D51" s="40"/>
      <c r="F51" s="46"/>
      <c r="G51" s="37"/>
      <c r="I51" s="45"/>
      <c r="J51" s="45">
        <f t="shared" si="2"/>
        <v>0</v>
      </c>
      <c r="K51" s="538">
        <f t="shared" si="3"/>
        <v>0</v>
      </c>
      <c r="L51" s="538"/>
      <c r="M51" s="433"/>
    </row>
    <row r="52" spans="2:13" s="23" customFormat="1">
      <c r="B52" s="72"/>
      <c r="D52" s="40"/>
      <c r="F52" s="46"/>
      <c r="G52" s="37"/>
      <c r="I52" s="45"/>
      <c r="J52" s="45">
        <f t="shared" si="2"/>
        <v>0</v>
      </c>
      <c r="K52" s="538">
        <f t="shared" si="3"/>
        <v>0</v>
      </c>
      <c r="L52" s="538"/>
      <c r="M52" s="433"/>
    </row>
    <row r="53" spans="2:13" s="23" customFormat="1">
      <c r="B53" s="72"/>
      <c r="D53" s="40"/>
      <c r="F53" s="46"/>
      <c r="G53" s="37"/>
      <c r="I53" s="45"/>
      <c r="J53" s="45">
        <f t="shared" si="2"/>
        <v>0</v>
      </c>
      <c r="K53" s="538">
        <f t="shared" si="3"/>
        <v>0</v>
      </c>
      <c r="L53" s="538"/>
      <c r="M53" s="433"/>
    </row>
    <row r="54" spans="2:13" s="23" customFormat="1">
      <c r="B54" s="72"/>
      <c r="D54" s="40"/>
      <c r="F54" s="46"/>
      <c r="G54" s="37"/>
      <c r="I54" s="45"/>
      <c r="J54" s="45">
        <f t="shared" si="2"/>
        <v>0</v>
      </c>
      <c r="K54" s="538">
        <f t="shared" si="3"/>
        <v>0</v>
      </c>
      <c r="L54" s="538"/>
      <c r="M54" s="433"/>
    </row>
    <row r="55" spans="2:13" s="23" customFormat="1">
      <c r="B55" s="72"/>
      <c r="D55" s="40"/>
      <c r="F55" s="46"/>
      <c r="G55" s="37"/>
      <c r="I55" s="45"/>
      <c r="J55" s="45">
        <f t="shared" si="2"/>
        <v>0</v>
      </c>
      <c r="K55" s="538">
        <f t="shared" si="3"/>
        <v>0</v>
      </c>
      <c r="L55" s="538"/>
      <c r="M55" s="433"/>
    </row>
    <row r="56" spans="2:13" s="23" customFormat="1" ht="12.75" customHeight="1">
      <c r="B56" s="39"/>
      <c r="D56" s="40"/>
      <c r="F56" s="46"/>
      <c r="G56" s="37"/>
      <c r="I56" s="45"/>
      <c r="J56" s="45">
        <f t="shared" si="2"/>
        <v>0</v>
      </c>
      <c r="K56" s="538">
        <f t="shared" si="3"/>
        <v>0</v>
      </c>
      <c r="L56" s="538"/>
      <c r="M56" s="433"/>
    </row>
    <row r="57" spans="2:13" s="23" customFormat="1">
      <c r="B57" s="39"/>
      <c r="D57" s="40"/>
      <c r="F57" s="46"/>
      <c r="G57" s="37"/>
      <c r="I57" s="45"/>
      <c r="J57" s="45">
        <f t="shared" si="2"/>
        <v>0</v>
      </c>
      <c r="K57" s="538">
        <f t="shared" si="3"/>
        <v>0</v>
      </c>
      <c r="L57" s="538"/>
      <c r="M57" s="433"/>
    </row>
    <row r="58" spans="2:13" s="23" customFormat="1">
      <c r="B58" s="39"/>
      <c r="D58" s="40"/>
      <c r="F58" s="46"/>
      <c r="G58" s="37"/>
      <c r="I58" s="45"/>
      <c r="J58" s="45">
        <f t="shared" si="2"/>
        <v>0</v>
      </c>
      <c r="K58" s="538">
        <f t="shared" si="3"/>
        <v>0</v>
      </c>
      <c r="L58" s="538"/>
      <c r="M58" s="433"/>
    </row>
    <row r="59" spans="2:13" s="23" customFormat="1">
      <c r="B59" s="39"/>
      <c r="D59" s="40"/>
      <c r="F59" s="46"/>
      <c r="G59" s="37"/>
      <c r="I59" s="45"/>
      <c r="J59" s="45">
        <f t="shared" si="2"/>
        <v>0</v>
      </c>
      <c r="K59" s="538">
        <f t="shared" si="3"/>
        <v>0</v>
      </c>
      <c r="L59" s="538"/>
      <c r="M59" s="433"/>
    </row>
    <row r="60" spans="2:13" s="23" customFormat="1" ht="12.75" customHeight="1">
      <c r="B60" s="39"/>
      <c r="D60" s="40"/>
      <c r="F60" s="46"/>
      <c r="G60" s="37"/>
      <c r="I60" s="45"/>
      <c r="J60" s="45">
        <f t="shared" si="2"/>
        <v>0</v>
      </c>
      <c r="K60" s="538">
        <f t="shared" si="3"/>
        <v>0</v>
      </c>
      <c r="L60" s="538"/>
      <c r="M60" s="433"/>
    </row>
    <row r="61" spans="2:13" s="23" customFormat="1" ht="12.75" customHeight="1">
      <c r="B61" s="39"/>
      <c r="D61" s="40"/>
      <c r="F61" s="46"/>
      <c r="G61" s="37"/>
      <c r="I61" s="45"/>
      <c r="J61" s="45">
        <f t="shared" si="2"/>
        <v>0</v>
      </c>
      <c r="K61" s="538">
        <f t="shared" si="3"/>
        <v>0</v>
      </c>
      <c r="L61" s="538"/>
      <c r="M61" s="433"/>
    </row>
    <row r="62" spans="2:13" s="23" customFormat="1" ht="12.75" customHeight="1">
      <c r="B62" s="39"/>
      <c r="D62" s="40"/>
      <c r="F62" s="46"/>
      <c r="G62" s="37"/>
      <c r="I62" s="45"/>
      <c r="J62" s="45">
        <f t="shared" si="2"/>
        <v>0</v>
      </c>
      <c r="K62" s="538">
        <f t="shared" si="3"/>
        <v>0</v>
      </c>
      <c r="L62" s="538"/>
      <c r="M62" s="433"/>
    </row>
    <row r="63" spans="2:13" s="23" customFormat="1">
      <c r="B63" s="39"/>
      <c r="D63" s="40"/>
      <c r="F63" s="46"/>
      <c r="G63" s="37"/>
      <c r="I63" s="45"/>
      <c r="J63" s="45">
        <f t="shared" si="2"/>
        <v>0</v>
      </c>
      <c r="K63" s="538">
        <f t="shared" si="3"/>
        <v>0</v>
      </c>
      <c r="L63" s="538"/>
      <c r="M63" s="433"/>
    </row>
    <row r="64" spans="2:13" s="23" customFormat="1">
      <c r="B64" s="39"/>
      <c r="D64" s="40"/>
      <c r="F64" s="46"/>
      <c r="G64" s="37"/>
      <c r="I64" s="45"/>
      <c r="J64" s="45">
        <f t="shared" si="2"/>
        <v>0</v>
      </c>
      <c r="K64" s="538">
        <f t="shared" si="3"/>
        <v>0</v>
      </c>
      <c r="L64" s="538"/>
      <c r="M64" s="433"/>
    </row>
    <row r="65" spans="2:13" s="23" customFormat="1">
      <c r="B65" s="39"/>
      <c r="D65" s="40"/>
      <c r="F65" s="46"/>
      <c r="G65" s="37"/>
      <c r="I65" s="45"/>
      <c r="J65" s="45">
        <f t="shared" si="2"/>
        <v>0</v>
      </c>
      <c r="K65" s="538">
        <f t="shared" si="3"/>
        <v>0</v>
      </c>
      <c r="L65" s="538"/>
      <c r="M65" s="433"/>
    </row>
    <row r="66" spans="2:13" s="23" customFormat="1">
      <c r="B66" s="39"/>
      <c r="D66" s="40"/>
      <c r="F66" s="46"/>
      <c r="G66" s="37"/>
      <c r="I66" s="45"/>
      <c r="J66" s="45">
        <f t="shared" si="2"/>
        <v>0</v>
      </c>
      <c r="K66" s="538">
        <f t="shared" si="3"/>
        <v>0</v>
      </c>
      <c r="L66" s="538"/>
      <c r="M66" s="433"/>
    </row>
    <row r="67" spans="2:13" s="23" customFormat="1" ht="12.75" customHeight="1">
      <c r="B67" s="39"/>
      <c r="D67" s="40"/>
      <c r="F67" s="46"/>
      <c r="G67" s="37"/>
      <c r="I67" s="45"/>
      <c r="J67" s="45">
        <f t="shared" si="2"/>
        <v>0</v>
      </c>
      <c r="K67" s="538">
        <f t="shared" si="3"/>
        <v>0</v>
      </c>
      <c r="L67" s="538"/>
      <c r="M67" s="433"/>
    </row>
    <row r="68" spans="2:13" s="23" customFormat="1">
      <c r="B68" s="39"/>
      <c r="D68" s="40"/>
      <c r="F68" s="46"/>
      <c r="G68" s="37"/>
      <c r="I68" s="45"/>
      <c r="J68" s="45">
        <f t="shared" si="2"/>
        <v>0</v>
      </c>
      <c r="K68" s="538">
        <f t="shared" si="3"/>
        <v>0</v>
      </c>
      <c r="L68" s="538"/>
      <c r="M68" s="433"/>
    </row>
    <row r="69" spans="2:13" s="23" customFormat="1">
      <c r="B69" s="39"/>
      <c r="D69" s="40"/>
      <c r="F69" s="46"/>
      <c r="G69" s="37"/>
      <c r="I69" s="45"/>
      <c r="J69" s="45">
        <f t="shared" si="2"/>
        <v>0</v>
      </c>
      <c r="K69" s="538">
        <f t="shared" si="3"/>
        <v>0</v>
      </c>
      <c r="L69" s="538"/>
      <c r="M69" s="433"/>
    </row>
    <row r="70" spans="2:13" s="23" customFormat="1">
      <c r="B70" s="41"/>
      <c r="D70" s="42"/>
      <c r="F70" s="47"/>
      <c r="G70" s="37"/>
      <c r="I70" s="45"/>
      <c r="J70" s="45">
        <f t="shared" si="2"/>
        <v>0</v>
      </c>
      <c r="K70" s="538">
        <f t="shared" ref="K70" si="4">J70*J70</f>
        <v>0</v>
      </c>
      <c r="L70" s="538"/>
      <c r="M70" s="433"/>
    </row>
    <row r="71" spans="2:13" ht="6" customHeight="1">
      <c r="G71" s="18"/>
      <c r="M71" s="19"/>
    </row>
    <row r="72" spans="2:13" ht="15" customHeight="1">
      <c r="B72" s="23" t="str">
        <f>'Used Language'!$C$30</f>
        <v>Error Margin [+/-]:</v>
      </c>
      <c r="F72" s="48">
        <f>IF(D79=0,0,J72*1.96/D79)</f>
        <v>0</v>
      </c>
      <c r="G72" s="18"/>
      <c r="J72" s="15">
        <f>SQRT(K72)</f>
        <v>0</v>
      </c>
      <c r="K72" s="545">
        <f>SUM(K6:K70)</f>
        <v>0</v>
      </c>
      <c r="L72" s="545"/>
      <c r="M72" s="19"/>
    </row>
    <row r="73" spans="2:13" ht="6" customHeight="1">
      <c r="G73" s="18"/>
      <c r="M73" s="19"/>
    </row>
    <row r="74" spans="2:13" ht="12.75" customHeight="1">
      <c r="B74" s="31" t="str">
        <f>'Used Language'!C79</f>
        <v>System Input Volume [m3]</v>
      </c>
      <c r="G74" s="18"/>
      <c r="M74" s="19"/>
    </row>
    <row r="75" spans="2:13">
      <c r="B75" s="23" t="str">
        <f>'Used Language'!$C$62</f>
        <v>Minimum</v>
      </c>
      <c r="D75" s="73">
        <f>IF(D$79=0, 0,D$79*(1-F$72))</f>
        <v>0</v>
      </c>
      <c r="G75" s="18"/>
      <c r="M75" s="19"/>
    </row>
    <row r="76" spans="2:13" ht="6" customHeight="1">
      <c r="D76" s="43"/>
      <c r="M76" s="19"/>
    </row>
    <row r="77" spans="2:13">
      <c r="B77" s="23" t="str">
        <f>'Used Language'!$C$63</f>
        <v>Maximum</v>
      </c>
      <c r="D77" s="73">
        <f>IF(D$79=0, 0,D$79*(1+F$72))</f>
        <v>0</v>
      </c>
      <c r="M77" s="19"/>
    </row>
    <row r="78" spans="2:13" ht="6" customHeight="1">
      <c r="D78" s="43"/>
      <c r="H78" s="19"/>
    </row>
    <row r="79" spans="2:13">
      <c r="B79" s="31" t="str">
        <f>'Used Language'!$C$64</f>
        <v>Best Estimate</v>
      </c>
      <c r="D79" s="44">
        <f>SUM(D6:D70)</f>
        <v>0</v>
      </c>
      <c r="H79" s="19"/>
    </row>
  </sheetData>
  <sheetProtection algorithmName="SHA-512" hashValue="MrJWebcFAvCSWkbPuLUKJOwD/zIGOSJAMCT3eBPLsNYgWV3kBTaUO+lqpHPNSNFk6LMFGrCGoS1J7zq9o1ceGQ==" saltValue="0CTI3iO+6RaJW8y6CqNCGA==" spinCount="100000" sheet="1" objects="1" scenarios="1"/>
  <mergeCells count="68">
    <mergeCell ref="K68:L68"/>
    <mergeCell ref="K55:L55"/>
    <mergeCell ref="K7:L7"/>
    <mergeCell ref="K8:L8"/>
    <mergeCell ref="K9:L9"/>
    <mergeCell ref="K10:L10"/>
    <mergeCell ref="K11:L11"/>
    <mergeCell ref="K14:L14"/>
    <mergeCell ref="K15:L15"/>
    <mergeCell ref="K12:L12"/>
    <mergeCell ref="K34:L34"/>
    <mergeCell ref="K35:L35"/>
    <mergeCell ref="K13:L13"/>
    <mergeCell ref="K16:L16"/>
    <mergeCell ref="K17:L17"/>
    <mergeCell ref="K29:L29"/>
    <mergeCell ref="K60:L60"/>
    <mergeCell ref="K61:L61"/>
    <mergeCell ref="K59:L59"/>
    <mergeCell ref="K56:L56"/>
    <mergeCell ref="K57:L57"/>
    <mergeCell ref="K58:L58"/>
    <mergeCell ref="B2:F2"/>
    <mergeCell ref="K72:L72"/>
    <mergeCell ref="K64:L64"/>
    <mergeCell ref="K62:L62"/>
    <mergeCell ref="K63:L63"/>
    <mergeCell ref="K65:L65"/>
    <mergeCell ref="K66:L66"/>
    <mergeCell ref="K67:L67"/>
    <mergeCell ref="K70:L70"/>
    <mergeCell ref="K6:L6"/>
    <mergeCell ref="K40:L40"/>
    <mergeCell ref="K36:L36"/>
    <mergeCell ref="K37:L37"/>
    <mergeCell ref="K38:L38"/>
    <mergeCell ref="K39:L39"/>
    <mergeCell ref="K69:L69"/>
    <mergeCell ref="K25:L25"/>
    <mergeCell ref="K26:L26"/>
    <mergeCell ref="K27:L27"/>
    <mergeCell ref="K28:L28"/>
    <mergeCell ref="H4:M4"/>
    <mergeCell ref="K18:L18"/>
    <mergeCell ref="K19:L19"/>
    <mergeCell ref="K20:L20"/>
    <mergeCell ref="K21:L21"/>
    <mergeCell ref="K22:L22"/>
    <mergeCell ref="K23:L23"/>
    <mergeCell ref="K24:L24"/>
    <mergeCell ref="K52:L52"/>
    <mergeCell ref="K53:L53"/>
    <mergeCell ref="K54:L54"/>
    <mergeCell ref="K47:L47"/>
    <mergeCell ref="K48:L48"/>
    <mergeCell ref="K49:L49"/>
    <mergeCell ref="K50:L50"/>
    <mergeCell ref="K51:L51"/>
    <mergeCell ref="K46:L46"/>
    <mergeCell ref="K30:L30"/>
    <mergeCell ref="K31:L31"/>
    <mergeCell ref="K32:L32"/>
    <mergeCell ref="K33:L33"/>
    <mergeCell ref="K41:L41"/>
    <mergeCell ref="K42:L42"/>
    <mergeCell ref="K43:L43"/>
    <mergeCell ref="K44:L44"/>
    <mergeCell ref="K45:L45"/>
  </mergeCells>
  <phoneticPr fontId="7" type="noConversion"/>
  <hyperlinks>
    <hyperlink ref="H4:H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1:Q28"/>
  <sheetViews>
    <sheetView zoomScale="80" zoomScaleNormal="80" workbookViewId="0">
      <selection activeCell="A8" sqref="A8:XFD25"/>
    </sheetView>
  </sheetViews>
  <sheetFormatPr baseColWidth="10" defaultColWidth="11.453125" defaultRowHeight="13"/>
  <cols>
    <col min="1" max="1" width="2.26953125" style="32" customWidth="1"/>
    <col min="2" max="2" width="48.54296875" style="32" customWidth="1"/>
    <col min="3" max="3" width="2.1796875" style="32" customWidth="1"/>
    <col min="4" max="4" width="12.81640625" style="32" customWidth="1"/>
    <col min="5" max="5" width="3.54296875" style="32" customWidth="1"/>
    <col min="6" max="6" width="48.54296875" style="32" customWidth="1"/>
    <col min="7" max="7" width="2.1796875" style="32" customWidth="1"/>
    <col min="8" max="8" width="12.81640625" style="32" customWidth="1"/>
    <col min="9" max="9" width="2.26953125" style="32" customWidth="1"/>
    <col min="10" max="10" width="14.7265625" style="32" customWidth="1"/>
    <col min="11" max="11" width="2.26953125" style="32" customWidth="1"/>
    <col min="12" max="12" width="11.453125" style="32"/>
    <col min="13" max="13" width="11.453125" style="69"/>
    <col min="14" max="16384" width="11.453125" style="32"/>
  </cols>
  <sheetData>
    <row r="1" spans="2:17" ht="5.25" customHeight="1"/>
    <row r="2" spans="2:17" s="34" customFormat="1" ht="22.5" customHeight="1">
      <c r="B2" s="542" t="str">
        <f>'Used Language'!C23</f>
        <v>Billed Metered Consumption</v>
      </c>
      <c r="C2" s="543"/>
      <c r="D2" s="544"/>
      <c r="F2" s="542" t="str">
        <f>'Used Language'!C24</f>
        <v>Billed Unmetered Consumption</v>
      </c>
      <c r="G2" s="543"/>
      <c r="H2" s="544"/>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39" t="str">
        <f>'Used Language'!C128</f>
        <v>Home</v>
      </c>
      <c r="K4" s="540"/>
      <c r="L4" s="541"/>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c r="E6" s="51"/>
      <c r="F6" s="71" t="str">
        <f>'Used Language'!$C$104</f>
        <v>Bulk Water Supply (Export)</v>
      </c>
      <c r="G6" s="33"/>
      <c r="H6" s="52"/>
    </row>
    <row r="7" spans="2:17" ht="5.25" customHeight="1">
      <c r="B7" s="33"/>
      <c r="C7" s="33"/>
      <c r="D7" s="33"/>
      <c r="E7" s="51"/>
      <c r="F7" s="51"/>
      <c r="G7" s="51"/>
      <c r="H7" s="51"/>
      <c r="I7" s="70"/>
    </row>
    <row r="8" spans="2:17" s="33" customFormat="1" ht="14.5">
      <c r="B8" s="430"/>
      <c r="D8" s="431"/>
      <c r="E8" s="51"/>
      <c r="F8" s="53"/>
      <c r="H8" s="54"/>
      <c r="M8" s="75"/>
    </row>
    <row r="9" spans="2:17" s="33" customFormat="1" ht="14.5">
      <c r="B9" s="39"/>
      <c r="D9" s="40"/>
      <c r="E9" s="51"/>
      <c r="F9" s="56"/>
      <c r="H9" s="57"/>
      <c r="M9" s="75"/>
    </row>
    <row r="10" spans="2:17" s="33" customFormat="1" ht="14.5">
      <c r="B10" s="56"/>
      <c r="D10" s="57"/>
      <c r="E10" s="51"/>
      <c r="F10" s="56"/>
      <c r="H10" s="57"/>
      <c r="M10" s="75"/>
    </row>
    <row r="11" spans="2:17" s="33" customFormat="1" ht="14.5">
      <c r="B11" s="56"/>
      <c r="D11" s="57"/>
      <c r="E11" s="51"/>
      <c r="F11" s="56"/>
      <c r="H11" s="57"/>
      <c r="M11" s="75"/>
    </row>
    <row r="12" spans="2:17" s="33" customFormat="1" ht="14.5">
      <c r="B12" s="56"/>
      <c r="D12" s="57"/>
      <c r="E12" s="51"/>
      <c r="F12" s="56"/>
      <c r="H12" s="57"/>
      <c r="M12" s="75"/>
    </row>
    <row r="13" spans="2:17" s="33" customFormat="1" ht="14.5">
      <c r="B13" s="56"/>
      <c r="D13" s="57"/>
      <c r="E13" s="51"/>
      <c r="F13" s="56"/>
      <c r="H13" s="57"/>
      <c r="M13" s="75"/>
    </row>
    <row r="14" spans="2:17" s="33" customFormat="1" ht="12.75" customHeight="1">
      <c r="B14" s="56"/>
      <c r="D14" s="57"/>
      <c r="E14" s="51"/>
      <c r="F14" s="56"/>
      <c r="H14" s="57"/>
      <c r="M14" s="75"/>
    </row>
    <row r="15" spans="2:17" s="33" customFormat="1" ht="14.5">
      <c r="B15" s="56"/>
      <c r="D15" s="57"/>
      <c r="E15" s="51"/>
      <c r="F15" s="56"/>
      <c r="H15" s="57"/>
      <c r="M15" s="75"/>
    </row>
    <row r="16" spans="2:17" s="33" customFormat="1" ht="14.5">
      <c r="B16" s="56"/>
      <c r="D16" s="57"/>
      <c r="E16" s="51"/>
      <c r="F16" s="56"/>
      <c r="H16" s="57"/>
      <c r="M16" s="75"/>
    </row>
    <row r="17" spans="2:13" s="33" customFormat="1" ht="14.5">
      <c r="B17" s="56"/>
      <c r="D17" s="57"/>
      <c r="E17" s="51"/>
      <c r="F17" s="56"/>
      <c r="H17" s="57"/>
      <c r="M17" s="75"/>
    </row>
    <row r="18" spans="2:13" s="33" customFormat="1" ht="14.5">
      <c r="B18" s="56"/>
      <c r="D18" s="57"/>
      <c r="E18" s="51"/>
      <c r="F18" s="56"/>
      <c r="H18" s="57"/>
      <c r="M18" s="75"/>
    </row>
    <row r="19" spans="2:13" s="33" customFormat="1" ht="14.5">
      <c r="B19" s="56"/>
      <c r="D19" s="57"/>
      <c r="E19" s="51"/>
      <c r="F19" s="56"/>
      <c r="H19" s="57"/>
      <c r="M19" s="75"/>
    </row>
    <row r="20" spans="2:13" s="33" customFormat="1" ht="12.75" customHeight="1">
      <c r="B20" s="56"/>
      <c r="D20" s="57"/>
      <c r="E20" s="51"/>
      <c r="F20" s="56"/>
      <c r="H20" s="57"/>
      <c r="M20" s="75"/>
    </row>
    <row r="21" spans="2:13" s="33" customFormat="1" ht="14.5">
      <c r="B21" s="56"/>
      <c r="D21" s="57"/>
      <c r="E21" s="51"/>
      <c r="F21" s="56"/>
      <c r="H21" s="57"/>
      <c r="M21" s="75"/>
    </row>
    <row r="22" spans="2:13" s="33" customFormat="1" ht="14.5">
      <c r="B22" s="56"/>
      <c r="D22" s="57"/>
      <c r="E22" s="51"/>
      <c r="F22" s="56"/>
      <c r="H22" s="57"/>
      <c r="M22" s="75"/>
    </row>
    <row r="23" spans="2:13" s="33" customFormat="1" ht="14.5">
      <c r="B23" s="56"/>
      <c r="D23" s="57"/>
      <c r="E23" s="51"/>
      <c r="F23" s="56"/>
      <c r="H23" s="57"/>
      <c r="M23" s="75"/>
    </row>
    <row r="24" spans="2:13" s="33" customFormat="1" ht="12.75" customHeight="1">
      <c r="B24" s="56"/>
      <c r="D24" s="57"/>
      <c r="E24" s="51"/>
      <c r="F24" s="56"/>
      <c r="H24" s="57"/>
      <c r="M24" s="75"/>
    </row>
    <row r="25" spans="2:13" s="33" customFormat="1" ht="14.5">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4.5">
      <c r="B28" s="66" t="str">
        <f>'Used Language'!$C$91</f>
        <v>[m3]</v>
      </c>
      <c r="C28" s="33"/>
      <c r="D28" s="67">
        <f>SUM(D6:D25)</f>
        <v>0</v>
      </c>
      <c r="E28" s="33"/>
      <c r="F28" s="66" t="str">
        <f>'Used Language'!$C$91</f>
        <v>[m3]</v>
      </c>
      <c r="G28" s="33"/>
      <c r="H28" s="67">
        <f>SUM(H6:H25)</f>
        <v>0</v>
      </c>
    </row>
  </sheetData>
  <sheetProtection algorithmName="SHA-512" hashValue="58HwPdaQicEPWZLl3QXFaXQ4wDI7/anWm8LzcCY2WJOJqdx4MV2EPQ8GOXzmiyfPTDdfb0TTK8izIOlrFVQEwg==" saltValue="4ms50qrG/QigNjerete2Hg==" spinCount="100000" sheet="1" objects="1" scenarios="1"/>
  <mergeCells count="3">
    <mergeCell ref="F2:H2"/>
    <mergeCell ref="B2:D2"/>
    <mergeCell ref="J4:L4"/>
  </mergeCells>
  <phoneticPr fontId="7" type="noConversion"/>
  <hyperlinks>
    <hyperlink ref="J4:J5" location="Start!A1" display="Home"/>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B1:Q32"/>
  <sheetViews>
    <sheetView zoomScale="90" zoomScaleNormal="90" workbookViewId="0">
      <selection activeCell="L4" sqref="L4:N4"/>
    </sheetView>
  </sheetViews>
  <sheetFormatPr baseColWidth="10" defaultColWidth="11.453125" defaultRowHeight="14.5"/>
  <cols>
    <col min="1" max="1" width="2.26953125" style="33" customWidth="1"/>
    <col min="2" max="2" width="48.7265625" style="33" customWidth="1"/>
    <col min="3" max="3" width="2.1796875" style="33" customWidth="1"/>
    <col min="4" max="4" width="12.81640625" style="33" customWidth="1"/>
    <col min="5" max="5" width="3.54296875" style="33" customWidth="1"/>
    <col min="6" max="6" width="31.81640625" style="33" customWidth="1"/>
    <col min="7" max="7" width="2.1796875" style="33" customWidth="1"/>
    <col min="8" max="8" width="12.81640625" style="33" customWidth="1"/>
    <col min="9" max="9" width="2.1796875" style="33" customWidth="1"/>
    <col min="10" max="10" width="17" style="33" customWidth="1"/>
    <col min="11" max="11" width="2.26953125" style="33" customWidth="1"/>
    <col min="12" max="12" width="15.7265625" style="33" customWidth="1"/>
    <col min="13" max="13" width="2.26953125" style="33" customWidth="1"/>
    <col min="14" max="14" width="11.453125" style="33"/>
    <col min="15" max="16" width="11.453125" style="33" hidden="1" customWidth="1"/>
    <col min="17" max="16384" width="11.453125" style="33"/>
  </cols>
  <sheetData>
    <row r="1" spans="2:17" ht="5.25" customHeight="1"/>
    <row r="2" spans="2:17" ht="22.5" customHeight="1">
      <c r="B2" s="542" t="str">
        <f>'Used Language'!C25</f>
        <v>Unbilled Metered Consumption</v>
      </c>
      <c r="C2" s="543"/>
      <c r="D2" s="544"/>
      <c r="F2" s="542" t="str">
        <f>'Used Language'!C26</f>
        <v>Unbilled Unmetered Consumption</v>
      </c>
      <c r="G2" s="543"/>
      <c r="H2" s="543"/>
      <c r="I2" s="543"/>
      <c r="J2" s="544"/>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39" t="str">
        <f>'Used Language'!C128</f>
        <v>Home</v>
      </c>
      <c r="M4" s="540"/>
      <c r="N4" s="541"/>
      <c r="O4" s="49"/>
      <c r="P4" s="49"/>
      <c r="Q4" s="49"/>
    </row>
    <row r="5" spans="2:17" ht="6" customHeight="1" thickTop="1">
      <c r="E5" s="51"/>
    </row>
    <row r="6" spans="2:17" ht="15" customHeight="1">
      <c r="B6" s="38" t="str">
        <f>'Used Language'!C90</f>
        <v>Bulk Water Supply (Export)</v>
      </c>
      <c r="D6" s="52"/>
      <c r="E6" s="51"/>
      <c r="F6" s="424"/>
      <c r="H6" s="54"/>
      <c r="J6" s="55"/>
      <c r="K6" s="51"/>
      <c r="N6" s="49"/>
      <c r="O6" s="49">
        <f t="shared" ref="O6:O23" si="0">H6*J6/1.96</f>
        <v>0</v>
      </c>
      <c r="P6" s="49">
        <f t="shared" ref="P6:P23" si="1">O6*O6</f>
        <v>0</v>
      </c>
      <c r="Q6" s="49"/>
    </row>
    <row r="7" spans="2:17">
      <c r="E7" s="51"/>
      <c r="F7" s="425"/>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29">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0</v>
      </c>
      <c r="K28" s="51"/>
      <c r="L28" s="51"/>
      <c r="M28" s="51"/>
    </row>
    <row r="29" spans="2:17" ht="6" customHeight="1">
      <c r="H29" s="65"/>
    </row>
    <row r="30" spans="2:17">
      <c r="F30" s="33" t="str">
        <f>'Used Language'!$C$63</f>
        <v>Maximum</v>
      </c>
      <c r="H30" s="64">
        <f>IF(H$32=0, 0,H$32*(1+J$25))</f>
        <v>0</v>
      </c>
    </row>
    <row r="31" spans="2:17" ht="6" customHeight="1">
      <c r="D31" s="65"/>
      <c r="H31" s="65"/>
    </row>
    <row r="32" spans="2:17">
      <c r="B32" s="66" t="str">
        <f>'Used Language'!$C$91</f>
        <v>[m3]</v>
      </c>
      <c r="D32" s="67">
        <f>D6+SUM(D8:D23)</f>
        <v>0</v>
      </c>
      <c r="F32" s="50" t="str">
        <f>'Used Language'!$C$64</f>
        <v>Best Estimate</v>
      </c>
      <c r="H32" s="67">
        <f>SUM(H6:H23)</f>
        <v>0</v>
      </c>
    </row>
  </sheetData>
  <sheetProtection algorithmName="SHA-512" hashValue="v95W8xR4qDf9YbfCQMIhOyt23ISssvcB2qP9R8XeaSBrqG6vMiVKyc7llPgfQTJucGY9hABmVJWlkUy/JFq8dQ==" saltValue="vj2uoaHHostzKzaVpuxFjw==" spinCount="100000" sheet="1" objects="1" scenarios="1"/>
  <mergeCells count="3">
    <mergeCell ref="B2:D2"/>
    <mergeCell ref="F2:J2"/>
    <mergeCell ref="L4:N4"/>
  </mergeCells>
  <phoneticPr fontId="7" type="noConversion"/>
  <hyperlinks>
    <hyperlink ref="L4:L5" location="Start!A1" display="Home"/>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R37"/>
  <sheetViews>
    <sheetView workbookViewId="0">
      <selection activeCell="D10" sqref="D10"/>
    </sheetView>
  </sheetViews>
  <sheetFormatPr baseColWidth="10" defaultColWidth="11.453125" defaultRowHeight="14.5"/>
  <cols>
    <col min="1" max="1" width="2.26953125" style="33" customWidth="1"/>
    <col min="2" max="2" width="44.26953125" style="33" customWidth="1"/>
    <col min="3" max="3" width="2.1796875" style="33" customWidth="1"/>
    <col min="4" max="4" width="12.453125" style="33" customWidth="1"/>
    <col min="5" max="5" width="2.1796875" style="33" customWidth="1"/>
    <col min="6" max="6" width="15" style="33" customWidth="1"/>
    <col min="7" max="7" width="2.1796875" style="33" customWidth="1"/>
    <col min="8" max="8" width="12.54296875" style="33" customWidth="1"/>
    <col min="9" max="9" width="2.1796875" style="33" customWidth="1"/>
    <col min="10" max="10" width="26.7265625" style="33" customWidth="1"/>
    <col min="11" max="11" width="2.1796875" style="33" customWidth="1"/>
    <col min="12" max="12" width="13.1796875" style="33" customWidth="1"/>
    <col min="13" max="13" width="2.26953125" style="51" customWidth="1"/>
    <col min="14" max="14" width="17" style="51" customWidth="1"/>
    <col min="15" max="15" width="2.26953125" style="49" customWidth="1"/>
    <col min="16" max="17" width="11.453125" style="49" hidden="1" customWidth="1"/>
    <col min="18" max="18" width="11.453125" style="49"/>
    <col min="19" max="16384" width="11.453125" style="33"/>
  </cols>
  <sheetData>
    <row r="1" spans="2:18" ht="5.25" customHeight="1"/>
    <row r="2" spans="2:18" ht="22.5" customHeight="1">
      <c r="B2" s="542" t="str">
        <f>'Used Language'!C13</f>
        <v>Unauthorized Consumption</v>
      </c>
      <c r="C2" s="543"/>
      <c r="D2" s="543"/>
      <c r="E2" s="543"/>
      <c r="F2" s="543"/>
      <c r="G2" s="543"/>
      <c r="H2" s="543"/>
      <c r="I2" s="543"/>
      <c r="J2" s="543"/>
      <c r="K2" s="543"/>
      <c r="L2" s="544"/>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[liters/person/day]</v>
      </c>
      <c r="L4" s="36" t="str">
        <f>'Used Language'!$C$95</f>
        <v>Total
[m3]</v>
      </c>
      <c r="M4" s="88" t="s">
        <v>2225</v>
      </c>
      <c r="N4" s="539" t="str">
        <f>'Used Language'!C128</f>
        <v>Home</v>
      </c>
      <c r="O4" s="540"/>
      <c r="P4" s="540"/>
      <c r="Q4" s="540"/>
      <c r="R4" s="541"/>
    </row>
    <row r="5" spans="2:18" ht="6" customHeight="1" thickTop="1">
      <c r="B5" s="75"/>
      <c r="C5" s="75"/>
      <c r="D5" s="75"/>
      <c r="E5" s="75"/>
      <c r="F5" s="75"/>
      <c r="H5" s="89"/>
      <c r="I5" s="74"/>
      <c r="M5" s="33"/>
      <c r="N5" s="33"/>
      <c r="O5" s="33"/>
      <c r="P5" s="33"/>
      <c r="Q5" s="33"/>
      <c r="R5" s="33"/>
    </row>
    <row r="6" spans="2:18">
      <c r="B6" s="38" t="str">
        <f>'Used Language'!$C$110</f>
        <v>Illegal Connections - domestic</v>
      </c>
      <c r="C6" s="75"/>
      <c r="D6" s="52"/>
      <c r="E6" s="75"/>
      <c r="F6" s="79"/>
      <c r="H6" s="94"/>
      <c r="I6" s="74"/>
      <c r="J6" s="52"/>
      <c r="L6" s="67">
        <f>D6*H6*J6*Start!M21/1000</f>
        <v>0</v>
      </c>
      <c r="P6" s="49">
        <f>L6*F6/1.96</f>
        <v>0</v>
      </c>
      <c r="Q6" s="49">
        <f>P6*P6</f>
        <v>0</v>
      </c>
    </row>
    <row r="7" spans="2:18" ht="6" customHeight="1">
      <c r="B7" s="75"/>
      <c r="C7" s="75"/>
      <c r="D7" s="76"/>
      <c r="E7" s="75"/>
      <c r="F7" s="77"/>
      <c r="H7" s="90"/>
      <c r="I7" s="74"/>
      <c r="J7" s="95"/>
      <c r="L7" s="76"/>
    </row>
    <row r="8" spans="2:18" ht="33.75" customHeight="1">
      <c r="B8" s="75"/>
      <c r="C8" s="75"/>
      <c r="D8" s="76"/>
      <c r="E8" s="75"/>
      <c r="F8" s="77"/>
      <c r="H8" s="90"/>
      <c r="I8" s="74"/>
      <c r="J8" s="36" t="str">
        <f>'Used Language'!$C$96</f>
        <v>Consumption
[liters/connection/day]</v>
      </c>
      <c r="L8" s="76"/>
    </row>
    <row r="9" spans="2:18" ht="6" customHeight="1">
      <c r="D9" s="75"/>
      <c r="E9" s="75"/>
      <c r="F9" s="75"/>
      <c r="I9" s="74"/>
    </row>
    <row r="10" spans="2:18">
      <c r="B10" s="38" t="str">
        <f>'Used Language'!$C$111</f>
        <v>Illegal Connections - others</v>
      </c>
      <c r="C10" s="75"/>
      <c r="D10" s="52"/>
      <c r="E10" s="75"/>
      <c r="F10" s="79"/>
      <c r="I10" s="74"/>
      <c r="J10" s="52"/>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[liters/customer/day]</v>
      </c>
    </row>
    <row r="13" spans="2:18" ht="6" customHeight="1">
      <c r="D13" s="75"/>
      <c r="E13" s="75"/>
      <c r="F13" s="75"/>
      <c r="I13" s="74"/>
    </row>
    <row r="14" spans="2:18" ht="58.5" customHeight="1">
      <c r="B14" s="38" t="str">
        <f>'Used Language'!$C$112</f>
        <v>Meter tampering, bypasses, etc. at registered customers</v>
      </c>
      <c r="C14" s="75"/>
      <c r="D14" s="52"/>
      <c r="E14" s="75"/>
      <c r="F14" s="79"/>
      <c r="J14" s="52"/>
      <c r="L14" s="67">
        <f>D14*J14*Start!M21/1000</f>
        <v>0</v>
      </c>
      <c r="P14" s="49">
        <f>L14*F14/1.96</f>
        <v>0</v>
      </c>
      <c r="Q14" s="49">
        <f>P14*P14</f>
        <v>0</v>
      </c>
    </row>
    <row r="15" spans="2:18" ht="6" customHeight="1">
      <c r="B15" s="96"/>
      <c r="C15" s="75"/>
      <c r="D15" s="76"/>
      <c r="E15" s="75"/>
      <c r="F15" s="77"/>
      <c r="J15" s="95"/>
      <c r="L15" s="76"/>
    </row>
    <row r="16" spans="2:18" ht="15" customHeight="1">
      <c r="B16" s="96"/>
      <c r="C16" s="75"/>
      <c r="D16" s="76"/>
      <c r="E16" s="75"/>
      <c r="F16" s="77"/>
      <c r="J16" s="36" t="str">
        <f>'Used Language'!C109</f>
        <v>Consumption [m3/day]</v>
      </c>
      <c r="L16" s="76"/>
    </row>
    <row r="17" spans="1:17" ht="6" customHeight="1">
      <c r="D17" s="75"/>
      <c r="E17" s="75"/>
      <c r="F17" s="75"/>
    </row>
    <row r="18" spans="1:17">
      <c r="B18" s="53"/>
      <c r="C18" s="75"/>
      <c r="D18" s="75"/>
      <c r="E18" s="75"/>
      <c r="F18" s="80"/>
      <c r="J18" s="54"/>
      <c r="L18" s="97">
        <f>J18*Start!M21</f>
        <v>0</v>
      </c>
      <c r="P18" s="49">
        <f>L18*F18/1.96</f>
        <v>0</v>
      </c>
      <c r="Q18" s="49">
        <f>P18*P18</f>
        <v>0</v>
      </c>
    </row>
    <row r="19" spans="1:17">
      <c r="B19" s="56"/>
      <c r="F19" s="81"/>
      <c r="J19" s="57"/>
      <c r="L19" s="98">
        <f>J19*Start!M21</f>
        <v>0</v>
      </c>
      <c r="P19" s="49">
        <f>L19*F19/1.96</f>
        <v>0</v>
      </c>
      <c r="Q19" s="49">
        <f>P19*P19</f>
        <v>0</v>
      </c>
    </row>
    <row r="20" spans="1:17">
      <c r="B20" s="56"/>
      <c r="F20" s="81"/>
      <c r="J20" s="57"/>
      <c r="L20" s="98">
        <f>J20*Start!M21</f>
        <v>0</v>
      </c>
      <c r="P20" s="49">
        <f>L20*F20/1.96</f>
        <v>0</v>
      </c>
      <c r="Q20" s="49">
        <f>P20*P20</f>
        <v>0</v>
      </c>
    </row>
    <row r="21" spans="1:17">
      <c r="B21" s="56"/>
      <c r="F21" s="81"/>
      <c r="J21" s="57"/>
      <c r="L21" s="98">
        <f>J21*Start!M21</f>
        <v>0</v>
      </c>
      <c r="P21" s="49">
        <f>L21*F21/1.96</f>
        <v>0</v>
      </c>
      <c r="Q21" s="49">
        <f>P21*P21</f>
        <v>0</v>
      </c>
    </row>
    <row r="22" spans="1:17">
      <c r="B22" s="59"/>
      <c r="C22" s="75"/>
      <c r="D22" s="75"/>
      <c r="E22" s="75"/>
      <c r="F22" s="82"/>
      <c r="J22" s="60"/>
      <c r="L22" s="99">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0</v>
      </c>
      <c r="P24" s="49">
        <f>SQRT(Q24)</f>
        <v>0</v>
      </c>
      <c r="Q24" s="49">
        <f>SUM(Q6:Q23)</f>
        <v>0</v>
      </c>
    </row>
    <row r="25" spans="1:17" ht="5.25" customHeight="1">
      <c r="A25" s="75"/>
      <c r="C25" s="75"/>
      <c r="D25" s="75"/>
      <c r="E25" s="75"/>
      <c r="F25" s="75"/>
    </row>
    <row r="26" spans="1:17" ht="12.75" customHeight="1">
      <c r="A26" s="75"/>
      <c r="B26" s="50" t="str">
        <f>'Used Language'!C98</f>
        <v>Unauthorized Consumption [m3]</v>
      </c>
      <c r="C26" s="75"/>
      <c r="D26" s="75"/>
      <c r="E26" s="75"/>
      <c r="F26" s="75"/>
    </row>
    <row r="27" spans="1:17" ht="15" customHeight="1">
      <c r="A27" s="75"/>
      <c r="B27" s="33" t="str">
        <f>'Used Language'!$C$62</f>
        <v>Minimum</v>
      </c>
      <c r="C27" s="75"/>
      <c r="D27" s="75"/>
      <c r="E27" s="75"/>
      <c r="F27" s="75"/>
      <c r="G27" s="75"/>
      <c r="L27" s="64">
        <f>L31*(1-F24)</f>
        <v>0</v>
      </c>
    </row>
    <row r="28" spans="1:17" ht="5.25" customHeight="1">
      <c r="A28" s="75"/>
      <c r="C28" s="75"/>
      <c r="D28" s="75"/>
      <c r="E28" s="75"/>
      <c r="F28" s="75"/>
    </row>
    <row r="29" spans="1:17" ht="15" customHeight="1">
      <c r="B29" s="33" t="str">
        <f>'Used Language'!$C$63</f>
        <v>Maximum</v>
      </c>
      <c r="L29" s="64">
        <f>L31*(1+F24)</f>
        <v>0</v>
      </c>
    </row>
    <row r="30" spans="1:17" ht="5.25" customHeight="1"/>
    <row r="31" spans="1:17" ht="15" customHeight="1">
      <c r="B31" s="50" t="str">
        <f>'Used Language'!$C$64</f>
        <v>Best Estimate</v>
      </c>
      <c r="L31" s="67">
        <f>SUM(L6:L22)</f>
        <v>0</v>
      </c>
    </row>
    <row r="32" spans="1:17" ht="12.75" customHeight="1">
      <c r="C32" s="50"/>
      <c r="D32" s="50"/>
      <c r="E32" s="50"/>
      <c r="F32" s="50"/>
    </row>
    <row r="34" spans="3:6" ht="6" customHeight="1"/>
    <row r="36" spans="3:6" ht="6" customHeight="1"/>
    <row r="37" spans="3:6">
      <c r="C37" s="50"/>
      <c r="D37" s="50"/>
      <c r="E37" s="50"/>
      <c r="F37" s="50"/>
    </row>
  </sheetData>
  <sheetProtection algorithmName="SHA-512" hashValue="J4y2vafp7VcghAdgFn8e/1OfVAfTJ4Xq3jI9qcgIBJWlHBV0uExwvSb6jYyUkz6eRW0PdkOYxxMxZznHi7kVpg==" saltValue="IHPufyEneXIQCwmCNQMURQ==" spinCount="100000" sheet="1" objects="1" scenarios="1"/>
  <mergeCells count="2">
    <mergeCell ref="B2:L2"/>
    <mergeCell ref="N4:R4"/>
  </mergeCells>
  <phoneticPr fontId="7" type="noConversion"/>
  <hyperlinks>
    <hyperlink ref="N4:N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pageSetUpPr fitToPage="1"/>
  </sheetPr>
  <dimension ref="B1:U49"/>
  <sheetViews>
    <sheetView workbookViewId="0">
      <selection activeCell="N8" sqref="N8"/>
    </sheetView>
  </sheetViews>
  <sheetFormatPr baseColWidth="10" defaultColWidth="11.453125" defaultRowHeight="14.5"/>
  <cols>
    <col min="1" max="1" width="0.453125" style="33" customWidth="1"/>
    <col min="2" max="2" width="2.26953125" style="33" customWidth="1"/>
    <col min="3" max="3" width="0.26953125" style="33" customWidth="1"/>
    <col min="4" max="4" width="44.1796875" style="33" customWidth="1"/>
    <col min="5" max="5" width="2.1796875" style="33" customWidth="1"/>
    <col min="6" max="6" width="12.81640625" style="33" customWidth="1"/>
    <col min="7" max="7" width="2.1796875" style="33" customWidth="1"/>
    <col min="8" max="8" width="21.453125" style="33" customWidth="1"/>
    <col min="9" max="9" width="0.81640625" style="33" customWidth="1"/>
    <col min="10" max="10" width="2.81640625" style="33" customWidth="1"/>
    <col min="11" max="11" width="0.81640625" style="33" customWidth="1"/>
    <col min="12" max="12" width="12.81640625" style="33" customWidth="1"/>
    <col min="13" max="13" width="2.1796875" style="33" customWidth="1"/>
    <col min="14" max="14" width="20.7265625" style="33" customWidth="1"/>
    <col min="15" max="15" width="2.26953125" style="51" customWidth="1"/>
    <col min="16" max="16" width="16.1796875" style="51" customWidth="1"/>
    <col min="17" max="17" width="2.26953125" style="33" customWidth="1"/>
    <col min="18" max="19" width="11.453125" style="33" hidden="1" customWidth="1"/>
    <col min="20" max="16384" width="11.453125" style="33"/>
  </cols>
  <sheetData>
    <row r="1" spans="2:21" ht="5.25" customHeight="1"/>
    <row r="2" spans="2:21" ht="22.5" customHeight="1">
      <c r="D2" s="542" t="str">
        <f>'Used Language'!C27</f>
        <v>Customer Meter Inaccuracies and Data Handling Errors</v>
      </c>
      <c r="E2" s="543"/>
      <c r="F2" s="543"/>
      <c r="G2" s="543"/>
      <c r="H2" s="543"/>
      <c r="I2" s="543"/>
      <c r="J2" s="543"/>
      <c r="K2" s="543"/>
      <c r="L2" s="543"/>
      <c r="M2" s="543"/>
      <c r="N2" s="544"/>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8"/>
      <c r="P4" s="539" t="str">
        <f>'Used Language'!C128</f>
        <v>Home</v>
      </c>
      <c r="Q4" s="540"/>
      <c r="R4" s="540"/>
      <c r="S4" s="540"/>
      <c r="T4" s="541"/>
    </row>
    <row r="5" spans="2:21" ht="6" customHeight="1" thickTop="1">
      <c r="D5" s="75"/>
      <c r="E5" s="75"/>
      <c r="F5" s="75"/>
      <c r="G5" s="75"/>
      <c r="H5" s="75"/>
      <c r="I5" s="75"/>
      <c r="J5" s="75"/>
      <c r="L5" s="89"/>
      <c r="M5" s="74"/>
      <c r="O5" s="33"/>
      <c r="P5" s="33"/>
    </row>
    <row r="6" spans="2:21" ht="73.5" customHeight="1">
      <c r="D6" s="548" t="str">
        <f>'Used Language'!C147</f>
        <v>Enter 1 to use an overall % for meter under-registration or 2 for manual entering of volumes and under-registration of different meter or customer types</v>
      </c>
      <c r="E6" s="549"/>
      <c r="F6" s="549"/>
      <c r="G6" s="549"/>
      <c r="H6" s="550"/>
      <c r="I6" s="83"/>
      <c r="J6" s="420">
        <v>2</v>
      </c>
      <c r="K6" s="75"/>
      <c r="L6" s="84"/>
      <c r="M6" s="74"/>
      <c r="N6" s="85"/>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1">
        <f>IF(J6=1,SUM('Billed Cons'!D8:D25),0)</f>
        <v>0</v>
      </c>
      <c r="G8" s="75"/>
      <c r="H8" s="100"/>
      <c r="I8" s="77"/>
      <c r="J8" s="77"/>
      <c r="L8" s="101">
        <f>F8/(1-H8)-F8</f>
        <v>0</v>
      </c>
      <c r="M8" s="74"/>
      <c r="N8" s="108"/>
      <c r="O8" s="33"/>
      <c r="P8" s="33"/>
      <c r="R8" s="49">
        <f>N8*L8/1.96</f>
        <v>0</v>
      </c>
      <c r="S8" s="49">
        <f>R8*R8</f>
        <v>0</v>
      </c>
      <c r="T8" s="49"/>
      <c r="U8" s="49"/>
    </row>
    <row r="9" spans="2:21" ht="6" customHeight="1">
      <c r="N9" s="86"/>
      <c r="O9" s="33"/>
      <c r="P9" s="33"/>
      <c r="R9" s="49"/>
      <c r="S9" s="49"/>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6"/>
      <c r="O10" s="33"/>
      <c r="P10" s="33"/>
      <c r="R10" s="49"/>
      <c r="S10" s="49"/>
      <c r="T10" s="49"/>
      <c r="U10" s="49"/>
    </row>
    <row r="11" spans="2:21" ht="6" customHeight="1">
      <c r="N11" s="86"/>
      <c r="O11" s="33"/>
      <c r="P11" s="33"/>
      <c r="R11" s="49"/>
      <c r="S11" s="49"/>
      <c r="T11" s="49"/>
      <c r="U11" s="49"/>
    </row>
    <row r="12" spans="2:21">
      <c r="D12" s="53"/>
      <c r="F12" s="422"/>
      <c r="H12" s="421"/>
      <c r="I12" s="75"/>
      <c r="J12" s="75"/>
      <c r="L12" s="102">
        <f t="shared" ref="L12:L28" si="0">IF(J$6=2,F12/(1-H12)-F12,0)</f>
        <v>0</v>
      </c>
      <c r="N12" s="105"/>
      <c r="O12" s="33"/>
      <c r="P12" s="33"/>
      <c r="R12" s="49">
        <f t="shared" ref="R12:R28" si="1">N12*L12/1.96</f>
        <v>0</v>
      </c>
      <c r="S12" s="49">
        <f t="shared" ref="S12:S28" si="2">R12*R12</f>
        <v>0</v>
      </c>
      <c r="T12" s="49"/>
      <c r="U12" s="49"/>
    </row>
    <row r="13" spans="2:21">
      <c r="D13" s="56"/>
      <c r="F13" s="423"/>
      <c r="H13" s="109"/>
      <c r="I13" s="75"/>
      <c r="J13" s="75"/>
      <c r="L13" s="103">
        <f t="shared" si="0"/>
        <v>0</v>
      </c>
      <c r="N13" s="106"/>
      <c r="O13" s="33"/>
      <c r="P13" s="33"/>
      <c r="R13" s="49">
        <f t="shared" si="1"/>
        <v>0</v>
      </c>
      <c r="S13" s="49">
        <f t="shared" si="2"/>
        <v>0</v>
      </c>
      <c r="T13" s="49"/>
      <c r="U13" s="49"/>
    </row>
    <row r="14" spans="2:21">
      <c r="D14" s="56"/>
      <c r="F14" s="367"/>
      <c r="H14" s="109"/>
      <c r="I14" s="75"/>
      <c r="J14" s="75"/>
      <c r="L14" s="103">
        <f t="shared" si="0"/>
        <v>0</v>
      </c>
      <c r="N14" s="106"/>
      <c r="O14" s="33"/>
      <c r="P14" s="33"/>
      <c r="R14" s="49">
        <f t="shared" si="1"/>
        <v>0</v>
      </c>
      <c r="S14" s="49">
        <f t="shared" si="2"/>
        <v>0</v>
      </c>
      <c r="T14" s="49"/>
      <c r="U14" s="49"/>
    </row>
    <row r="15" spans="2:21">
      <c r="D15" s="56"/>
      <c r="F15" s="367"/>
      <c r="H15" s="109"/>
      <c r="I15" s="75"/>
      <c r="J15" s="75"/>
      <c r="L15" s="103">
        <f t="shared" si="0"/>
        <v>0</v>
      </c>
      <c r="N15" s="106"/>
      <c r="O15" s="33"/>
      <c r="P15" s="33"/>
      <c r="R15" s="49">
        <f t="shared" si="1"/>
        <v>0</v>
      </c>
      <c r="S15" s="49">
        <f t="shared" si="2"/>
        <v>0</v>
      </c>
      <c r="T15" s="49"/>
      <c r="U15" s="49"/>
    </row>
    <row r="16" spans="2:21">
      <c r="D16" s="56"/>
      <c r="F16" s="367"/>
      <c r="H16" s="109"/>
      <c r="I16" s="75"/>
      <c r="J16" s="75"/>
      <c r="L16" s="103">
        <f t="shared" si="0"/>
        <v>0</v>
      </c>
      <c r="N16" s="106"/>
      <c r="O16" s="33"/>
      <c r="P16" s="33"/>
      <c r="R16" s="49">
        <f t="shared" si="1"/>
        <v>0</v>
      </c>
      <c r="S16" s="49">
        <f t="shared" si="2"/>
        <v>0</v>
      </c>
      <c r="T16" s="49"/>
      <c r="U16" s="49"/>
    </row>
    <row r="17" spans="4:21">
      <c r="D17" s="56"/>
      <c r="F17" s="367"/>
      <c r="H17" s="109"/>
      <c r="I17" s="75"/>
      <c r="J17" s="75"/>
      <c r="L17" s="103">
        <f t="shared" si="0"/>
        <v>0</v>
      </c>
      <c r="N17" s="106"/>
      <c r="O17" s="33"/>
      <c r="P17" s="33"/>
      <c r="R17" s="49">
        <f t="shared" si="1"/>
        <v>0</v>
      </c>
      <c r="S17" s="49">
        <f t="shared" si="2"/>
        <v>0</v>
      </c>
      <c r="T17" s="49"/>
      <c r="U17" s="49"/>
    </row>
    <row r="18" spans="4:21">
      <c r="D18" s="56"/>
      <c r="F18" s="367"/>
      <c r="H18" s="109"/>
      <c r="I18" s="75"/>
      <c r="J18" s="75"/>
      <c r="L18" s="103">
        <f t="shared" si="0"/>
        <v>0</v>
      </c>
      <c r="N18" s="106"/>
      <c r="O18" s="33"/>
      <c r="P18" s="33"/>
      <c r="R18" s="49">
        <f t="shared" si="1"/>
        <v>0</v>
      </c>
      <c r="S18" s="49">
        <f t="shared" si="2"/>
        <v>0</v>
      </c>
      <c r="T18" s="49"/>
      <c r="U18" s="49"/>
    </row>
    <row r="19" spans="4:21">
      <c r="D19" s="56"/>
      <c r="F19" s="367"/>
      <c r="H19" s="109"/>
      <c r="I19" s="75"/>
      <c r="J19" s="75"/>
      <c r="L19" s="103">
        <f t="shared" si="0"/>
        <v>0</v>
      </c>
      <c r="N19" s="106"/>
      <c r="O19" s="33"/>
      <c r="P19" s="33"/>
      <c r="R19" s="49">
        <f t="shared" si="1"/>
        <v>0</v>
      </c>
      <c r="S19" s="49">
        <f t="shared" si="2"/>
        <v>0</v>
      </c>
      <c r="T19" s="49"/>
      <c r="U19" s="49"/>
    </row>
    <row r="20" spans="4:21">
      <c r="D20" s="56"/>
      <c r="F20" s="367"/>
      <c r="H20" s="109"/>
      <c r="I20" s="75"/>
      <c r="J20" s="75"/>
      <c r="L20" s="103">
        <f t="shared" si="0"/>
        <v>0</v>
      </c>
      <c r="N20" s="106"/>
      <c r="O20" s="33"/>
      <c r="P20" s="33"/>
      <c r="R20" s="49">
        <f t="shared" si="1"/>
        <v>0</v>
      </c>
      <c r="S20" s="49">
        <f t="shared" si="2"/>
        <v>0</v>
      </c>
      <c r="T20" s="49"/>
      <c r="U20" s="49"/>
    </row>
    <row r="21" spans="4:21">
      <c r="D21" s="56"/>
      <c r="F21" s="367"/>
      <c r="H21" s="109"/>
      <c r="I21" s="75"/>
      <c r="J21" s="75"/>
      <c r="L21" s="103">
        <f t="shared" si="0"/>
        <v>0</v>
      </c>
      <c r="N21" s="106"/>
      <c r="O21" s="33"/>
      <c r="P21" s="33"/>
      <c r="R21" s="49">
        <f t="shared" si="1"/>
        <v>0</v>
      </c>
      <c r="S21" s="49">
        <f t="shared" si="2"/>
        <v>0</v>
      </c>
      <c r="T21" s="49"/>
      <c r="U21" s="49"/>
    </row>
    <row r="22" spans="4:21">
      <c r="D22" s="56"/>
      <c r="F22" s="367"/>
      <c r="H22" s="109"/>
      <c r="I22" s="75"/>
      <c r="J22" s="75"/>
      <c r="L22" s="103">
        <f t="shared" si="0"/>
        <v>0</v>
      </c>
      <c r="N22" s="106"/>
      <c r="O22" s="33"/>
      <c r="P22" s="33"/>
      <c r="R22" s="49">
        <f t="shared" si="1"/>
        <v>0</v>
      </c>
      <c r="S22" s="49">
        <f t="shared" si="2"/>
        <v>0</v>
      </c>
      <c r="T22" s="49"/>
      <c r="U22" s="49"/>
    </row>
    <row r="23" spans="4:21">
      <c r="D23" s="56"/>
      <c r="F23" s="367"/>
      <c r="H23" s="109"/>
      <c r="I23" s="75"/>
      <c r="J23" s="75"/>
      <c r="L23" s="103">
        <f t="shared" si="0"/>
        <v>0</v>
      </c>
      <c r="N23" s="106"/>
      <c r="O23" s="33"/>
      <c r="P23" s="33"/>
      <c r="R23" s="49">
        <f t="shared" si="1"/>
        <v>0</v>
      </c>
      <c r="S23" s="49">
        <f t="shared" si="2"/>
        <v>0</v>
      </c>
      <c r="T23" s="49"/>
      <c r="U23" s="49"/>
    </row>
    <row r="24" spans="4:21">
      <c r="D24" s="56"/>
      <c r="F24" s="367"/>
      <c r="H24" s="109"/>
      <c r="I24" s="75"/>
      <c r="J24" s="75"/>
      <c r="L24" s="103">
        <f t="shared" si="0"/>
        <v>0</v>
      </c>
      <c r="N24" s="106"/>
      <c r="O24" s="33"/>
      <c r="P24" s="33"/>
      <c r="R24" s="49">
        <f t="shared" si="1"/>
        <v>0</v>
      </c>
      <c r="S24" s="49">
        <f t="shared" si="2"/>
        <v>0</v>
      </c>
      <c r="T24" s="49"/>
      <c r="U24" s="49"/>
    </row>
    <row r="25" spans="4:21">
      <c r="D25" s="56"/>
      <c r="F25" s="367"/>
      <c r="H25" s="109"/>
      <c r="I25" s="75"/>
      <c r="J25" s="75"/>
      <c r="L25" s="103">
        <f t="shared" si="0"/>
        <v>0</v>
      </c>
      <c r="N25" s="106"/>
      <c r="O25" s="33"/>
      <c r="P25" s="33"/>
      <c r="R25" s="49">
        <f t="shared" si="1"/>
        <v>0</v>
      </c>
      <c r="S25" s="49">
        <f t="shared" si="2"/>
        <v>0</v>
      </c>
      <c r="T25" s="49"/>
      <c r="U25" s="49"/>
    </row>
    <row r="26" spans="4:21">
      <c r="D26" s="56"/>
      <c r="F26" s="367"/>
      <c r="H26" s="109"/>
      <c r="I26" s="75"/>
      <c r="J26" s="75"/>
      <c r="L26" s="103">
        <f t="shared" si="0"/>
        <v>0</v>
      </c>
      <c r="N26" s="106"/>
      <c r="O26" s="33"/>
      <c r="P26" s="33"/>
      <c r="R26" s="49">
        <f t="shared" si="1"/>
        <v>0</v>
      </c>
      <c r="S26" s="49">
        <f t="shared" si="2"/>
        <v>0</v>
      </c>
      <c r="T26" s="49"/>
      <c r="U26" s="49"/>
    </row>
    <row r="27" spans="4:21">
      <c r="D27" s="56"/>
      <c r="F27" s="367"/>
      <c r="H27" s="109"/>
      <c r="I27" s="75"/>
      <c r="J27" s="75"/>
      <c r="L27" s="103">
        <f t="shared" si="0"/>
        <v>0</v>
      </c>
      <c r="N27" s="106"/>
      <c r="O27" s="33"/>
      <c r="P27" s="33"/>
      <c r="R27" s="49">
        <f t="shared" si="1"/>
        <v>0</v>
      </c>
      <c r="S27" s="49">
        <f t="shared" si="2"/>
        <v>0</v>
      </c>
      <c r="T27" s="49"/>
      <c r="U27" s="49"/>
    </row>
    <row r="28" spans="4:21">
      <c r="D28" s="59"/>
      <c r="F28" s="368"/>
      <c r="H28" s="110"/>
      <c r="I28" s="75"/>
      <c r="J28" s="75"/>
      <c r="L28" s="104">
        <f t="shared" si="0"/>
        <v>0</v>
      </c>
      <c r="N28" s="107"/>
      <c r="O28" s="33"/>
      <c r="P28" s="33"/>
      <c r="R28" s="49">
        <f t="shared" si="1"/>
        <v>0</v>
      </c>
      <c r="S28" s="49">
        <f t="shared" si="2"/>
        <v>0</v>
      </c>
      <c r="T28" s="49"/>
      <c r="U28" s="49"/>
    </row>
    <row r="29" spans="4:21">
      <c r="N29" s="86"/>
      <c r="O29" s="33"/>
      <c r="P29" s="33"/>
      <c r="R29" s="49"/>
      <c r="S29" s="49"/>
      <c r="T29" s="49"/>
      <c r="U29" s="49"/>
    </row>
    <row r="30" spans="4:21" ht="6" customHeight="1">
      <c r="N30" s="86"/>
      <c r="O30" s="33"/>
      <c r="P30" s="33"/>
      <c r="R30" s="49"/>
      <c r="S30" s="49"/>
      <c r="T30" s="49"/>
      <c r="U30" s="49"/>
    </row>
    <row r="31" spans="4:21" ht="6" customHeight="1">
      <c r="N31" s="86"/>
      <c r="O31" s="33"/>
      <c r="P31" s="33"/>
      <c r="R31" s="49"/>
      <c r="S31" s="49"/>
      <c r="T31" s="49"/>
      <c r="U31" s="49"/>
    </row>
    <row r="32" spans="4:21" ht="34.15" customHeight="1">
      <c r="D32" s="38" t="str">
        <f>'Used Language'!C102</f>
        <v>Metered Bulk Supply (Export)</v>
      </c>
      <c r="E32" s="75"/>
      <c r="F32" s="101">
        <f>'Billed Cons'!D6+'Unb. Cons.'!D6</f>
        <v>0</v>
      </c>
      <c r="G32" s="75"/>
      <c r="H32" s="108"/>
      <c r="I32" s="87"/>
      <c r="J32" s="87"/>
      <c r="L32" s="101">
        <f>F32/(1-H32)-F32</f>
        <v>0</v>
      </c>
      <c r="M32" s="74"/>
      <c r="N32" s="108"/>
      <c r="O32" s="33"/>
      <c r="P32" s="33"/>
      <c r="R32" s="49">
        <f>N32*L32/1.96</f>
        <v>0</v>
      </c>
      <c r="S32" s="49">
        <f>R32*R32</f>
        <v>0</v>
      </c>
      <c r="T32" s="49"/>
      <c r="U32" s="49"/>
    </row>
    <row r="33" spans="3:21" ht="6" customHeight="1">
      <c r="D33" s="75"/>
      <c r="E33" s="75"/>
      <c r="F33" s="76"/>
      <c r="G33" s="75"/>
      <c r="H33" s="77"/>
      <c r="I33" s="77"/>
      <c r="J33" s="77"/>
      <c r="L33" s="90"/>
      <c r="M33" s="74"/>
      <c r="N33" s="91"/>
      <c r="R33" s="49"/>
      <c r="S33" s="49"/>
      <c r="T33" s="49"/>
      <c r="U33" s="49"/>
    </row>
    <row r="34" spans="3:21" ht="45.75" customHeight="1">
      <c r="D34" s="38" t="str">
        <f>'Used Language'!C103</f>
        <v>Unbilled Metered Consumption (without Bulk Supply)</v>
      </c>
      <c r="E34" s="75"/>
      <c r="F34" s="101">
        <f>SUM('Unb. Cons.'!D8:D23)</f>
        <v>0</v>
      </c>
      <c r="G34" s="75"/>
      <c r="H34" s="108"/>
      <c r="I34" s="87"/>
      <c r="J34" s="87"/>
      <c r="L34" s="101">
        <f>F34/(1-H34)-F34</f>
        <v>0</v>
      </c>
      <c r="M34" s="74"/>
      <c r="N34" s="108"/>
      <c r="R34" s="49">
        <f>N34*L34/1.96</f>
        <v>0</v>
      </c>
      <c r="S34" s="49">
        <f>R34*R34</f>
        <v>0</v>
      </c>
      <c r="T34" s="49"/>
      <c r="U34" s="49"/>
    </row>
    <row r="35" spans="3:21" ht="6" customHeight="1">
      <c r="N35" s="86"/>
      <c r="R35" s="49"/>
      <c r="S35" s="49"/>
      <c r="T35" s="49"/>
      <c r="U35" s="49"/>
    </row>
    <row r="36" spans="3:21" ht="84.65" customHeight="1">
      <c r="C36" s="51"/>
      <c r="D36" s="51"/>
      <c r="E36" s="51"/>
      <c r="F36" s="51"/>
      <c r="G36" s="51"/>
      <c r="H36" s="36" t="str">
        <f>'Used Language'!C100</f>
        <v>Estimated % of under-reading</v>
      </c>
      <c r="I36" s="26"/>
      <c r="J36" s="26"/>
      <c r="K36" s="51"/>
      <c r="L36" s="51"/>
      <c r="M36" s="51"/>
      <c r="N36" s="92"/>
      <c r="R36" s="49"/>
      <c r="S36" s="49"/>
      <c r="T36" s="49"/>
      <c r="U36" s="49"/>
    </row>
    <row r="37" spans="3:21" ht="6" customHeight="1">
      <c r="F37" s="51"/>
      <c r="N37" s="86"/>
      <c r="R37" s="49"/>
      <c r="S37" s="49"/>
      <c r="T37" s="49"/>
      <c r="U37" s="49"/>
    </row>
    <row r="38" spans="3:21" ht="26.25" customHeight="1">
      <c r="D38" s="38" t="str">
        <f>'Used Language'!C105</f>
        <v>Corrupt Meter Reading Practices</v>
      </c>
      <c r="E38" s="75"/>
      <c r="F38" s="101">
        <f>'Billed Cons'!D28+'Billed Cons'!H28</f>
        <v>0</v>
      </c>
      <c r="G38" s="75"/>
      <c r="H38" s="108"/>
      <c r="I38" s="87"/>
      <c r="J38" s="87"/>
      <c r="L38" s="101">
        <f>F38/(1-H38)-F38</f>
        <v>0</v>
      </c>
      <c r="M38" s="74"/>
      <c r="N38" s="108"/>
      <c r="O38" s="33"/>
      <c r="P38" s="33"/>
      <c r="R38" s="49">
        <f>N38*L38/1.96</f>
        <v>0</v>
      </c>
      <c r="S38" s="49">
        <f>R38*R38</f>
        <v>0</v>
      </c>
      <c r="T38" s="49"/>
      <c r="U38" s="49"/>
    </row>
    <row r="39" spans="3:21" ht="6" customHeight="1">
      <c r="F39" s="51"/>
      <c r="N39" s="86"/>
      <c r="R39" s="49"/>
      <c r="S39" s="49"/>
      <c r="T39" s="49"/>
      <c r="U39" s="49"/>
    </row>
    <row r="40" spans="3:21" ht="34.9" customHeight="1">
      <c r="D40" s="38" t="str">
        <f>'Used Language'!C106</f>
        <v>Data Handling Errors (Office)</v>
      </c>
      <c r="E40" s="75"/>
      <c r="F40" s="51"/>
      <c r="G40" s="75"/>
      <c r="L40" s="429"/>
      <c r="M40" s="74"/>
      <c r="N40" s="108"/>
      <c r="R40" s="49">
        <f>N40*L40/1.96</f>
        <v>0</v>
      </c>
      <c r="S40" s="49">
        <f>R40*R40</f>
        <v>0</v>
      </c>
      <c r="T40" s="49"/>
      <c r="U40" s="49"/>
    </row>
    <row r="41" spans="3:21" ht="6" customHeight="1">
      <c r="N41" s="86"/>
      <c r="R41" s="49"/>
      <c r="S41" s="49"/>
      <c r="T41" s="49"/>
      <c r="U41" s="49"/>
    </row>
    <row r="42" spans="3:21">
      <c r="D42" s="33" t="str">
        <f>'Used Language'!$C$30</f>
        <v>Error Margin [+/-]:</v>
      </c>
      <c r="E42" s="75"/>
      <c r="F42" s="75"/>
      <c r="G42" s="75"/>
      <c r="N42" s="48">
        <f>IF(L49=0,0,R42*1.96/L49)</f>
        <v>0</v>
      </c>
      <c r="R42" s="49">
        <f>SQRT(S42)</f>
        <v>0</v>
      </c>
      <c r="S42" s="49">
        <f>SUM(S8:S40)</f>
        <v>0</v>
      </c>
      <c r="T42" s="49"/>
      <c r="U42" s="49"/>
    </row>
    <row r="43" spans="3:21">
      <c r="E43" s="75"/>
      <c r="F43" s="75"/>
      <c r="G43" s="75"/>
      <c r="R43" s="49"/>
      <c r="S43" s="49"/>
      <c r="T43" s="49"/>
      <c r="U43" s="49"/>
    </row>
    <row r="44" spans="3:21" ht="28.5" customHeight="1">
      <c r="D44" s="546" t="str">
        <f>'Used Language'!C27</f>
        <v>Customer Meter Inaccuracies and Data Handling Errors</v>
      </c>
      <c r="E44" s="547"/>
      <c r="F44" s="547"/>
      <c r="G44" s="547"/>
      <c r="H44" s="547"/>
      <c r="I44" s="93"/>
      <c r="J44" s="93"/>
      <c r="R44" s="49"/>
      <c r="S44" s="49"/>
      <c r="T44" s="49"/>
      <c r="U44" s="49"/>
    </row>
    <row r="45" spans="3:21">
      <c r="D45" s="33" t="str">
        <f>'Used Language'!$C$62</f>
        <v>Minimum</v>
      </c>
      <c r="E45" s="75"/>
      <c r="F45" s="75"/>
      <c r="G45" s="75"/>
      <c r="H45" s="75"/>
      <c r="I45" s="75"/>
      <c r="J45" s="75"/>
      <c r="K45" s="75"/>
      <c r="L45" s="64">
        <f>L49*(1-N42)</f>
        <v>0</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0</v>
      </c>
      <c r="R47" s="49"/>
      <c r="S47" s="49"/>
      <c r="T47" s="49"/>
      <c r="U47" s="49"/>
    </row>
    <row r="48" spans="3:21" ht="6" customHeight="1">
      <c r="R48" s="49"/>
      <c r="S48" s="49"/>
      <c r="T48" s="49"/>
      <c r="U48" s="49"/>
    </row>
    <row r="49" spans="4:12">
      <c r="D49" s="50" t="str">
        <f>'Used Language'!$C$64</f>
        <v>Best Estimate</v>
      </c>
      <c r="L49" s="67">
        <f>IF(J6=2,SUM(L12:L28)+L32+L34+L38+L40,L8+L32+L34+L38+L40)</f>
        <v>0</v>
      </c>
    </row>
  </sheetData>
  <sheetProtection algorithmName="SHA-512" hashValue="aY5vkpP+Nn+ucIFmFvt0QvpzxmuirkLNYhwSSKmaNZ4vTaRs0d+LKzkE/4eaLvcKW/aEkKpCBvNvZb8ZX5GcDw==" saltValue="LfG9SfUvgY9eBhkT2XIG/g==" spinCount="100000" sheet="1" objects="1" scenarios="1"/>
  <mergeCells count="4">
    <mergeCell ref="D2:N2"/>
    <mergeCell ref="D44:H44"/>
    <mergeCell ref="D6:H6"/>
    <mergeCell ref="P4:T4"/>
  </mergeCells>
  <phoneticPr fontId="7" type="noConversion"/>
  <hyperlinks>
    <hyperlink ref="P4:P5" location="Start!A1" display="Home"/>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B1:O85"/>
  <sheetViews>
    <sheetView topLeftCell="A3" zoomScale="90" zoomScaleNormal="90" workbookViewId="0">
      <selection activeCell="J7" sqref="J7:J8"/>
    </sheetView>
  </sheetViews>
  <sheetFormatPr baseColWidth="10" defaultColWidth="11.453125" defaultRowHeight="14.5"/>
  <cols>
    <col min="1" max="1" width="2.26953125" style="23" customWidth="1"/>
    <col min="2" max="2" width="46.7265625" style="23" customWidth="1"/>
    <col min="3" max="3" width="2.1796875" style="23" customWidth="1"/>
    <col min="4" max="4" width="14.453125" style="23" customWidth="1"/>
    <col min="5" max="5" width="3.81640625" style="23" customWidth="1"/>
    <col min="6" max="6" width="38" style="23" customWidth="1"/>
    <col min="7" max="7" width="2.1796875" style="23" customWidth="1"/>
    <col min="8" max="8" width="12.7265625" style="23" customWidth="1"/>
    <col min="9" max="9" width="2.1796875" style="23" customWidth="1"/>
    <col min="10" max="10" width="13.7265625" style="23" customWidth="1"/>
    <col min="11" max="11" width="2.26953125" style="23" customWidth="1"/>
    <col min="12" max="12" width="17.1796875" style="37" customWidth="1"/>
    <col min="13" max="13" width="17.81640625" style="23" hidden="1" customWidth="1"/>
    <col min="14" max="14" width="19.453125" style="23" hidden="1" customWidth="1"/>
    <col min="15" max="16384" width="11.453125" style="23"/>
  </cols>
  <sheetData>
    <row r="1" spans="2:15" ht="5.25" customHeight="1" thickBot="1"/>
    <row r="2" spans="2:15" ht="22.5" customHeight="1" thickTop="1">
      <c r="B2" s="542" t="str">
        <f>'Used Language'!C54</f>
        <v>Distribution and Transmission Mains</v>
      </c>
      <c r="C2" s="543"/>
      <c r="D2" s="544"/>
      <c r="E2" s="33"/>
      <c r="F2" s="542" t="str">
        <f>'Used Language'!C55</f>
        <v>Service Connections</v>
      </c>
      <c r="G2" s="543"/>
      <c r="H2" s="543"/>
      <c r="I2" s="543"/>
      <c r="J2" s="544"/>
      <c r="L2" s="554" t="str">
        <f>'Used Language'!C128</f>
        <v>Home</v>
      </c>
      <c r="M2" s="555"/>
      <c r="N2" s="555"/>
      <c r="O2" s="556"/>
    </row>
    <row r="3" spans="2:15" ht="5.25" customHeight="1">
      <c r="L3" s="557"/>
      <c r="M3" s="558"/>
      <c r="N3" s="558"/>
      <c r="O3" s="559"/>
    </row>
    <row r="4" spans="2:15" ht="25.5" customHeight="1">
      <c r="B4" s="552" t="str">
        <f>'Used Language'!$C$56</f>
        <v>Description</v>
      </c>
      <c r="C4" s="31"/>
      <c r="D4" s="552" t="str">
        <f>'Used Language'!C57</f>
        <v>Length
[km]</v>
      </c>
      <c r="E4" s="31"/>
      <c r="F4" s="552" t="str">
        <f>'Used Language'!$C$56</f>
        <v>Description</v>
      </c>
      <c r="G4" s="31"/>
      <c r="H4" s="552" t="str">
        <f>'Used Language'!C58</f>
        <v>Number</v>
      </c>
      <c r="I4" s="31"/>
      <c r="J4" s="552" t="str">
        <f>'Used Language'!C33</f>
        <v>Error Margin
[+/- %]</v>
      </c>
      <c r="K4" s="26"/>
      <c r="L4" s="557"/>
      <c r="M4" s="558"/>
      <c r="N4" s="558"/>
      <c r="O4" s="559"/>
    </row>
    <row r="5" spans="2:15" ht="25.5" customHeight="1" thickBot="1">
      <c r="B5" s="553"/>
      <c r="C5" s="31"/>
      <c r="D5" s="553"/>
      <c r="E5" s="31"/>
      <c r="F5" s="553"/>
      <c r="G5" s="31"/>
      <c r="H5" s="553"/>
      <c r="I5" s="31"/>
      <c r="J5" s="553"/>
      <c r="K5" s="111"/>
      <c r="L5" s="560"/>
      <c r="M5" s="561"/>
      <c r="N5" s="561"/>
      <c r="O5" s="562"/>
    </row>
    <row r="6" spans="2:15" ht="6" customHeight="1" thickTop="1">
      <c r="L6" s="112"/>
      <c r="M6" s="29"/>
    </row>
    <row r="7" spans="2:15" ht="15" customHeight="1">
      <c r="B7" s="430"/>
      <c r="D7" s="434"/>
      <c r="F7" s="552" t="str">
        <f>'Used Language'!C184</f>
        <v>Number of Customers (active)</v>
      </c>
      <c r="H7" s="569"/>
      <c r="J7" s="572"/>
      <c r="M7" s="551">
        <f>H10*J10/1.96</f>
        <v>0</v>
      </c>
      <c r="N7" s="114">
        <f>M7*M7</f>
        <v>0</v>
      </c>
      <c r="O7" s="45"/>
    </row>
    <row r="8" spans="2:15">
      <c r="B8" s="39"/>
      <c r="D8" s="129"/>
      <c r="F8" s="553"/>
      <c r="H8" s="571"/>
      <c r="J8" s="573"/>
      <c r="K8" s="113"/>
      <c r="M8" s="551"/>
      <c r="N8" s="114"/>
      <c r="O8" s="45"/>
    </row>
    <row r="9" spans="2:15">
      <c r="B9" s="39"/>
      <c r="D9" s="129"/>
      <c r="M9" s="551"/>
      <c r="N9" s="114"/>
      <c r="O9" s="45"/>
    </row>
    <row r="10" spans="2:15">
      <c r="B10" s="39"/>
      <c r="D10" s="129"/>
      <c r="F10" s="566" t="str">
        <f>'Used Language'!C65</f>
        <v>Number of Connections of Registered Customers
Note: this figure is most likely (a little bit) less than the number of customers</v>
      </c>
      <c r="H10" s="569"/>
      <c r="J10" s="563"/>
      <c r="K10" s="113"/>
      <c r="M10" s="551"/>
      <c r="N10" s="114"/>
      <c r="O10" s="45"/>
    </row>
    <row r="11" spans="2:15">
      <c r="B11" s="39"/>
      <c r="D11" s="129"/>
      <c r="F11" s="567"/>
      <c r="H11" s="570"/>
      <c r="J11" s="564"/>
      <c r="K11" s="113"/>
      <c r="M11" s="551"/>
      <c r="N11" s="114"/>
      <c r="O11" s="45"/>
    </row>
    <row r="12" spans="2:15">
      <c r="B12" s="39"/>
      <c r="D12" s="129"/>
      <c r="F12" s="567"/>
      <c r="H12" s="570"/>
      <c r="J12" s="564"/>
      <c r="K12" s="113"/>
      <c r="M12" s="551"/>
      <c r="N12" s="114"/>
      <c r="O12" s="45"/>
    </row>
    <row r="13" spans="2:15">
      <c r="B13" s="39"/>
      <c r="D13" s="129"/>
      <c r="F13" s="567"/>
      <c r="H13" s="570"/>
      <c r="J13" s="564"/>
      <c r="K13" s="113"/>
      <c r="M13" s="551"/>
      <c r="N13" s="114"/>
      <c r="O13" s="45"/>
    </row>
    <row r="14" spans="2:15">
      <c r="B14" s="39"/>
      <c r="D14" s="129"/>
      <c r="F14" s="567"/>
      <c r="H14" s="570"/>
      <c r="J14" s="564"/>
      <c r="L14" s="23"/>
      <c r="N14" s="116"/>
      <c r="O14" s="45"/>
    </row>
    <row r="15" spans="2:15">
      <c r="B15" s="39"/>
      <c r="D15" s="129"/>
      <c r="F15" s="567"/>
      <c r="H15" s="570"/>
      <c r="J15" s="564"/>
      <c r="L15" s="23"/>
      <c r="M15" s="551">
        <f>H18*J18/1.96</f>
        <v>0</v>
      </c>
      <c r="N15" s="114">
        <f>M15*M15</f>
        <v>0</v>
      </c>
      <c r="O15" s="45"/>
    </row>
    <row r="16" spans="2:15">
      <c r="B16" s="39"/>
      <c r="D16" s="129"/>
      <c r="F16" s="568"/>
      <c r="H16" s="571"/>
      <c r="J16" s="565"/>
      <c r="K16" s="117"/>
      <c r="M16" s="551"/>
      <c r="N16" s="114"/>
      <c r="O16" s="45"/>
    </row>
    <row r="17" spans="2:15">
      <c r="B17" s="39"/>
      <c r="D17" s="129"/>
      <c r="H17" s="115"/>
      <c r="K17" s="45"/>
      <c r="M17" s="119"/>
      <c r="N17" s="120"/>
      <c r="O17" s="45"/>
    </row>
    <row r="18" spans="2:15">
      <c r="B18" s="39"/>
      <c r="D18" s="129"/>
      <c r="F18" s="552" t="str">
        <f>'Used Language'!C148</f>
        <v>Number of inactive accounts with existing service connection</v>
      </c>
      <c r="H18" s="569"/>
      <c r="J18" s="563"/>
      <c r="K18" s="117"/>
      <c r="M18" s="551">
        <f>H21*J21/1.96</f>
        <v>0</v>
      </c>
      <c r="N18" s="114">
        <f>M18*M18</f>
        <v>0</v>
      </c>
      <c r="O18" s="45"/>
    </row>
    <row r="19" spans="2:15">
      <c r="B19" s="39"/>
      <c r="D19" s="129"/>
      <c r="F19" s="553"/>
      <c r="H19" s="571"/>
      <c r="J19" s="565"/>
      <c r="K19" s="117"/>
      <c r="M19" s="551"/>
      <c r="N19" s="427"/>
      <c r="O19" s="45"/>
    </row>
    <row r="20" spans="2:15">
      <c r="B20" s="39"/>
      <c r="D20" s="129"/>
      <c r="H20" s="118"/>
      <c r="K20" s="45"/>
      <c r="O20" s="45"/>
    </row>
    <row r="21" spans="2:15">
      <c r="B21" s="39"/>
      <c r="D21" s="129"/>
      <c r="F21" s="552" t="str">
        <f>'Used Language'!C66</f>
        <v>Estimated Number of Illegal Connections</v>
      </c>
      <c r="H21" s="586">
        <f>'Unauth. Cons.'!D6+'Unauth. Cons.'!D10</f>
        <v>0</v>
      </c>
      <c r="J21" s="588">
        <f>'Unauth. Cons.'!F6</f>
        <v>0</v>
      </c>
      <c r="K21" s="45"/>
      <c r="O21" s="45"/>
    </row>
    <row r="22" spans="2:15">
      <c r="B22" s="39"/>
      <c r="D22" s="129"/>
      <c r="F22" s="553"/>
      <c r="H22" s="587"/>
      <c r="J22" s="589"/>
      <c r="K22" s="45"/>
      <c r="N22" s="116">
        <f>N7+N18+N15</f>
        <v>0</v>
      </c>
      <c r="O22" s="45"/>
    </row>
    <row r="23" spans="2:15">
      <c r="B23" s="39"/>
      <c r="D23" s="129"/>
      <c r="K23" s="45"/>
      <c r="O23" s="45"/>
    </row>
    <row r="24" spans="2:15" ht="12.75" customHeight="1">
      <c r="B24" s="39"/>
      <c r="D24" s="129"/>
      <c r="F24" s="23" t="str">
        <f>'Used Language'!$C$30</f>
        <v>Error Margin [+/-]:</v>
      </c>
      <c r="J24" s="370">
        <f>IF(H30=0,0,$M$24*1.96/H30)</f>
        <v>0</v>
      </c>
      <c r="K24" s="45"/>
      <c r="M24" s="122">
        <f>SQRT(N22)</f>
        <v>0</v>
      </c>
      <c r="O24" s="45"/>
    </row>
    <row r="25" spans="2:15">
      <c r="B25" s="39"/>
      <c r="D25" s="129"/>
      <c r="F25" s="31" t="str">
        <f>'Used Language'!C67</f>
        <v>Number of Connections</v>
      </c>
      <c r="K25" s="45"/>
      <c r="L25" s="123"/>
      <c r="O25" s="45"/>
    </row>
    <row r="26" spans="2:15">
      <c r="B26" s="41"/>
      <c r="D26" s="130"/>
      <c r="F26" s="23" t="str">
        <f>'Used Language'!$C$62</f>
        <v>Minimum</v>
      </c>
      <c r="H26" s="73">
        <f>IF(H$30=0,0,H$30*(1-$J$24))</f>
        <v>0</v>
      </c>
      <c r="J26" s="37"/>
      <c r="K26" s="45"/>
      <c r="L26" s="45"/>
      <c r="O26" s="45"/>
    </row>
    <row r="27" spans="2:15" ht="6" customHeight="1">
      <c r="D27" s="125"/>
      <c r="F27" s="121"/>
      <c r="H27" s="68"/>
      <c r="J27" s="126" t="s">
        <v>2227</v>
      </c>
      <c r="K27" s="45"/>
      <c r="L27" s="45"/>
      <c r="O27" s="45"/>
    </row>
    <row r="28" spans="2:15" ht="12.75" customHeight="1">
      <c r="B28" s="29" t="str">
        <f>'Used Language'!C59</f>
        <v>Total [km]</v>
      </c>
      <c r="D28" s="128">
        <f>SUM(D6:D26)</f>
        <v>0</v>
      </c>
      <c r="F28" s="23" t="str">
        <f>'Used Language'!$C$63</f>
        <v>Maximum</v>
      </c>
      <c r="H28" s="73">
        <f>IF(H$30=0,0,H$30*(1+$J$24))</f>
        <v>0</v>
      </c>
      <c r="J28" s="126" t="s">
        <v>2228</v>
      </c>
      <c r="K28" s="45"/>
      <c r="L28" s="45"/>
      <c r="O28" s="45"/>
    </row>
    <row r="29" spans="2:15" ht="6" customHeight="1">
      <c r="D29" s="125"/>
      <c r="H29" s="124"/>
      <c r="J29" s="37"/>
      <c r="K29" s="45"/>
      <c r="L29" s="45"/>
      <c r="O29" s="45"/>
    </row>
    <row r="30" spans="2:15">
      <c r="B30" s="23" t="str">
        <f>'Used Language'!C60</f>
        <v>Possible underestimation</v>
      </c>
      <c r="D30" s="78"/>
      <c r="F30" s="31" t="str">
        <f>'Used Language'!$C$64</f>
        <v>Best Estimate</v>
      </c>
      <c r="H30" s="44">
        <f>$H$10+$H$21+$H$18</f>
        <v>0</v>
      </c>
      <c r="K30" s="45"/>
      <c r="L30" s="45"/>
      <c r="O30" s="45"/>
    </row>
    <row r="31" spans="2:15" ht="6" customHeight="1">
      <c r="D31" s="125"/>
      <c r="K31" s="45"/>
      <c r="L31" s="45"/>
      <c r="O31" s="45"/>
    </row>
    <row r="32" spans="2:15">
      <c r="B32" s="31" t="str">
        <f>'Used Language'!C61</f>
        <v>Pipe Length [km]</v>
      </c>
      <c r="D32" s="125"/>
      <c r="F32" s="574" t="str">
        <f>'Used Language'!C68</f>
        <v>Average Length of Service Connection from Property Boundary to Customer Meter [meter]</v>
      </c>
      <c r="H32" s="583"/>
      <c r="I32" s="428"/>
      <c r="J32" s="563"/>
      <c r="K32" s="45"/>
      <c r="L32" s="45"/>
      <c r="O32" s="45"/>
    </row>
    <row r="33" spans="2:15">
      <c r="B33" s="23" t="str">
        <f>'Used Language'!$C$62</f>
        <v>Minimum</v>
      </c>
      <c r="D33" s="128">
        <f>D28</f>
        <v>0</v>
      </c>
      <c r="F33" s="575"/>
      <c r="H33" s="584"/>
      <c r="I33" s="428"/>
      <c r="J33" s="564"/>
      <c r="K33" s="45"/>
      <c r="L33" s="45"/>
      <c r="O33" s="45"/>
    </row>
    <row r="34" spans="2:15" ht="6" customHeight="1">
      <c r="D34" s="125"/>
      <c r="F34" s="575"/>
      <c r="H34" s="584"/>
      <c r="I34" s="428"/>
      <c r="J34" s="564"/>
      <c r="K34" s="45"/>
      <c r="L34" s="45"/>
      <c r="O34" s="45"/>
    </row>
    <row r="35" spans="2:15" ht="15" customHeight="1">
      <c r="B35" s="23" t="str">
        <f>'Used Language'!$C$63</f>
        <v>Maximum</v>
      </c>
      <c r="D35" s="128">
        <f>D28*(1+D30)</f>
        <v>0</v>
      </c>
      <c r="F35" s="575"/>
      <c r="H35" s="584"/>
      <c r="I35" s="428"/>
      <c r="J35" s="564"/>
      <c r="K35" s="45"/>
      <c r="L35" s="45"/>
      <c r="O35" s="45"/>
    </row>
    <row r="36" spans="2:15" ht="6" customHeight="1">
      <c r="D36" s="125"/>
      <c r="F36" s="575"/>
      <c r="H36" s="584"/>
      <c r="I36" s="428"/>
      <c r="J36" s="564"/>
      <c r="K36" s="45"/>
      <c r="L36" s="45"/>
      <c r="O36" s="45"/>
    </row>
    <row r="37" spans="2:15">
      <c r="B37" s="31" t="str">
        <f>'Used Language'!$C$64</f>
        <v>Best Estimate</v>
      </c>
      <c r="D37" s="127">
        <f>(D33+D35)/2</f>
        <v>0</v>
      </c>
      <c r="F37" s="576"/>
      <c r="H37" s="585"/>
      <c r="I37" s="428"/>
      <c r="J37" s="565"/>
      <c r="K37" s="45"/>
      <c r="L37" s="45"/>
      <c r="O37" s="45"/>
    </row>
    <row r="38" spans="2:15">
      <c r="D38" s="125"/>
      <c r="H38" s="115"/>
      <c r="K38" s="45"/>
      <c r="L38" s="45"/>
      <c r="O38" s="45"/>
    </row>
    <row r="39" spans="2:15">
      <c r="F39" s="574" t="str">
        <f>'Used Language'!C69</f>
        <v>Total Length of Service Connections from Property Boundary to Customer Meter [kilometer]</v>
      </c>
      <c r="H39" s="577">
        <f>H32*H30/1000</f>
        <v>0</v>
      </c>
      <c r="I39" s="428"/>
      <c r="J39" s="580">
        <f>SQRT(J24*J24+J32*J32)</f>
        <v>0</v>
      </c>
      <c r="K39" s="45"/>
      <c r="L39" s="45"/>
      <c r="O39" s="45"/>
    </row>
    <row r="40" spans="2:15">
      <c r="F40" s="575"/>
      <c r="H40" s="578"/>
      <c r="I40" s="428"/>
      <c r="J40" s="581"/>
      <c r="K40" s="45"/>
      <c r="L40" s="45"/>
      <c r="O40" s="45"/>
    </row>
    <row r="41" spans="2:15">
      <c r="F41" s="575"/>
      <c r="H41" s="578"/>
      <c r="I41" s="428"/>
      <c r="J41" s="581"/>
      <c r="K41" s="45"/>
      <c r="L41" s="45"/>
      <c r="O41" s="45"/>
    </row>
    <row r="42" spans="2:15">
      <c r="F42" s="575"/>
      <c r="H42" s="578"/>
      <c r="I42" s="428"/>
      <c r="J42" s="581"/>
      <c r="K42" s="45"/>
      <c r="L42" s="45"/>
      <c r="O42" s="45"/>
    </row>
    <row r="43" spans="2:15">
      <c r="F43" s="575"/>
      <c r="H43" s="578"/>
      <c r="I43" s="428"/>
      <c r="J43" s="581"/>
      <c r="K43" s="45"/>
      <c r="L43" s="45"/>
      <c r="O43" s="45"/>
    </row>
    <row r="44" spans="2:15">
      <c r="F44" s="576"/>
      <c r="H44" s="579"/>
      <c r="I44" s="428"/>
      <c r="J44" s="582"/>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sheetProtection algorithmName="SHA-512" hashValue="BDeidvpDs3+t/iQ/BtlGrbhsgP5uumY3uLLwhp6G6mBRIwIbJO4/h2FKc6wGrLdIoZCgWXW090Yjg0cjZCnmkA==" saltValue="qFTKrR4WLnqckIQLhcNRhw==" spinCount="100000" sheet="1" objects="1" scenarios="1"/>
  <mergeCells count="29">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s>
  <phoneticPr fontId="7" type="noConversion"/>
  <hyperlinks>
    <hyperlink ref="L2:L5" location="Start!A1" display="Start!A1"/>
  </hyperlinks>
  <pageMargins left="0.78740157499999996" right="0.78740157499999996" top="0.984251969" bottom="0.7" header="0.4921259845" footer="0.4921259845"/>
  <pageSetup paperSize="9" scale="97"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1:Q53"/>
  <sheetViews>
    <sheetView topLeftCell="A4" workbookViewId="0">
      <selection activeCell="F7" sqref="F7"/>
    </sheetView>
  </sheetViews>
  <sheetFormatPr baseColWidth="10" defaultColWidth="11.453125" defaultRowHeight="14.5"/>
  <cols>
    <col min="1" max="1" width="2.26953125" style="33" customWidth="1"/>
    <col min="2" max="2" width="24.81640625" style="33" customWidth="1"/>
    <col min="3" max="3" width="2.1796875" style="33" customWidth="1"/>
    <col min="4" max="4" width="16.26953125" style="33" customWidth="1"/>
    <col min="5" max="5" width="2.1796875" style="33" customWidth="1"/>
    <col min="6" max="6" width="11.453125" style="33" customWidth="1"/>
    <col min="7" max="7" width="2.26953125" style="33" customWidth="1"/>
    <col min="8" max="8" width="15.81640625" style="33" customWidth="1"/>
    <col min="9" max="9" width="2.26953125" style="33" customWidth="1"/>
    <col min="10" max="16384" width="11.453125" style="33"/>
  </cols>
  <sheetData>
    <row r="1" spans="2:17" ht="5.25" customHeight="1"/>
    <row r="2" spans="2:17" ht="22.5" customHeight="1">
      <c r="B2" s="542" t="str">
        <f>'Used Language'!C70</f>
        <v>Average Pressure</v>
      </c>
      <c r="C2" s="543"/>
      <c r="D2" s="543"/>
      <c r="E2" s="543"/>
      <c r="F2" s="544"/>
    </row>
    <row r="3" spans="2:17" ht="5.25" customHeight="1" thickBot="1"/>
    <row r="4" spans="2:17" ht="43.5" customHeight="1" thickTop="1">
      <c r="B4" s="552" t="str">
        <f>'Used Language'!C72</f>
        <v>Area</v>
      </c>
      <c r="C4" s="50"/>
      <c r="D4" s="552" t="str">
        <f>'Used Language'!$C$73</f>
        <v>Approximate Number of Connections</v>
      </c>
      <c r="E4" s="50"/>
      <c r="F4" s="552" t="str">
        <f>'Used Language'!C74</f>
        <v>Daily Average Pressure
[m]</v>
      </c>
      <c r="G4" s="51"/>
      <c r="H4" s="554" t="str">
        <f>'Used Language'!C128</f>
        <v>Home</v>
      </c>
      <c r="I4" s="555"/>
      <c r="J4" s="556"/>
    </row>
    <row r="5" spans="2:17" ht="21" customHeight="1" thickBot="1">
      <c r="B5" s="553"/>
      <c r="C5" s="50"/>
      <c r="D5" s="553"/>
      <c r="E5" s="50"/>
      <c r="F5" s="553"/>
      <c r="G5" s="51"/>
      <c r="H5" s="560"/>
      <c r="I5" s="561"/>
      <c r="J5" s="562"/>
    </row>
    <row r="6" spans="2:17" ht="6" customHeight="1" thickTop="1">
      <c r="G6" s="51"/>
    </row>
    <row r="7" spans="2:17" ht="12.75" customHeight="1">
      <c r="B7" s="132"/>
      <c r="D7" s="371"/>
      <c r="F7" s="364"/>
      <c r="G7" s="142"/>
      <c r="H7" s="142"/>
      <c r="I7" s="142"/>
      <c r="J7" s="142"/>
      <c r="K7" s="142"/>
      <c r="L7" s="142"/>
      <c r="M7" s="142"/>
      <c r="N7" s="142"/>
      <c r="O7" s="142"/>
      <c r="P7" s="142"/>
      <c r="Q7" s="142"/>
    </row>
    <row r="8" spans="2:17">
      <c r="B8" s="133"/>
      <c r="D8" s="372"/>
      <c r="F8" s="365"/>
      <c r="G8" s="142"/>
      <c r="H8" s="142"/>
      <c r="I8" s="142"/>
      <c r="J8" s="142"/>
      <c r="K8" s="142"/>
      <c r="L8" s="142"/>
      <c r="M8" s="142"/>
      <c r="N8" s="142"/>
      <c r="O8" s="142"/>
      <c r="P8" s="142"/>
      <c r="Q8" s="142"/>
    </row>
    <row r="9" spans="2:17">
      <c r="B9" s="133"/>
      <c r="D9" s="372"/>
      <c r="F9" s="365"/>
      <c r="G9" s="142"/>
      <c r="H9" s="142"/>
      <c r="I9" s="142"/>
      <c r="J9" s="142"/>
      <c r="K9" s="142"/>
      <c r="L9" s="142"/>
      <c r="M9" s="142"/>
      <c r="N9" s="142"/>
      <c r="O9" s="142"/>
      <c r="P9" s="142"/>
      <c r="Q9" s="142"/>
    </row>
    <row r="10" spans="2:17">
      <c r="B10" s="133"/>
      <c r="D10" s="372"/>
      <c r="F10" s="365"/>
      <c r="G10" s="142"/>
      <c r="H10" s="142"/>
      <c r="I10" s="142"/>
      <c r="J10" s="142"/>
      <c r="K10" s="142"/>
      <c r="L10" s="142"/>
      <c r="M10" s="142"/>
      <c r="N10" s="142"/>
      <c r="O10" s="142"/>
      <c r="P10" s="142"/>
      <c r="Q10" s="142"/>
    </row>
    <row r="11" spans="2:17">
      <c r="B11" s="133"/>
      <c r="D11" s="372"/>
      <c r="F11" s="365"/>
      <c r="G11" s="142"/>
      <c r="H11" s="142"/>
      <c r="I11" s="142"/>
      <c r="J11" s="142"/>
      <c r="K11" s="142"/>
      <c r="L11" s="142"/>
      <c r="M11" s="142"/>
      <c r="N11" s="142"/>
      <c r="O11" s="142"/>
      <c r="P11" s="142"/>
      <c r="Q11" s="142"/>
    </row>
    <row r="12" spans="2:17">
      <c r="B12" s="133"/>
      <c r="D12" s="372"/>
      <c r="F12" s="365"/>
      <c r="G12" s="142"/>
      <c r="H12" s="142"/>
      <c r="I12" s="142"/>
      <c r="J12" s="142"/>
      <c r="K12" s="142"/>
      <c r="L12" s="142"/>
      <c r="M12" s="142"/>
      <c r="N12" s="142"/>
      <c r="O12" s="142"/>
      <c r="P12" s="142"/>
      <c r="Q12" s="142"/>
    </row>
    <row r="13" spans="2:17">
      <c r="B13" s="133"/>
      <c r="D13" s="372"/>
      <c r="F13" s="365"/>
      <c r="G13" s="142"/>
      <c r="H13" s="142"/>
      <c r="I13" s="142"/>
      <c r="J13" s="142"/>
      <c r="K13" s="142"/>
      <c r="L13" s="142"/>
      <c r="M13" s="142"/>
      <c r="N13" s="142"/>
      <c r="O13" s="142"/>
      <c r="P13" s="142"/>
      <c r="Q13" s="142"/>
    </row>
    <row r="14" spans="2:17">
      <c r="B14" s="133"/>
      <c r="D14" s="372"/>
      <c r="F14" s="365"/>
      <c r="G14" s="142"/>
      <c r="H14" s="142"/>
      <c r="I14" s="142"/>
      <c r="J14" s="142"/>
      <c r="K14" s="142"/>
      <c r="L14" s="142"/>
      <c r="M14" s="142"/>
      <c r="N14" s="142"/>
      <c r="O14" s="142"/>
      <c r="P14" s="142"/>
      <c r="Q14" s="142"/>
    </row>
    <row r="15" spans="2:17" ht="12.75" customHeight="1">
      <c r="B15" s="133"/>
      <c r="D15" s="372"/>
      <c r="F15" s="365"/>
      <c r="G15" s="142"/>
      <c r="H15" s="142"/>
      <c r="I15" s="142"/>
      <c r="J15" s="142"/>
      <c r="K15" s="142"/>
      <c r="L15" s="142"/>
      <c r="M15" s="142"/>
      <c r="N15" s="142"/>
      <c r="O15" s="142"/>
      <c r="P15" s="142"/>
      <c r="Q15" s="142"/>
    </row>
    <row r="16" spans="2:17">
      <c r="B16" s="133"/>
      <c r="D16" s="372"/>
      <c r="F16" s="365"/>
      <c r="G16" s="142"/>
      <c r="H16" s="142"/>
      <c r="I16" s="142"/>
      <c r="J16" s="142"/>
      <c r="K16" s="142"/>
      <c r="L16" s="142"/>
      <c r="M16" s="142"/>
      <c r="N16" s="142"/>
      <c r="O16" s="142"/>
      <c r="P16" s="142"/>
      <c r="Q16" s="142"/>
    </row>
    <row r="17" spans="2:17">
      <c r="B17" s="133"/>
      <c r="D17" s="372"/>
      <c r="F17" s="365"/>
      <c r="G17" s="142"/>
      <c r="H17" s="142"/>
      <c r="I17" s="142"/>
      <c r="J17" s="142"/>
      <c r="K17" s="142"/>
      <c r="L17" s="142"/>
      <c r="M17" s="142"/>
      <c r="N17" s="142"/>
      <c r="O17" s="142"/>
      <c r="P17" s="142"/>
      <c r="Q17" s="142"/>
    </row>
    <row r="18" spans="2:17">
      <c r="B18" s="133"/>
      <c r="D18" s="372"/>
      <c r="F18" s="365"/>
      <c r="G18" s="142"/>
      <c r="H18" s="142"/>
      <c r="I18" s="142"/>
      <c r="J18" s="142"/>
      <c r="K18" s="142"/>
      <c r="L18" s="142"/>
      <c r="M18" s="142"/>
      <c r="N18" s="142"/>
      <c r="O18" s="142"/>
      <c r="P18" s="142"/>
      <c r="Q18" s="142"/>
    </row>
    <row r="19" spans="2:17">
      <c r="B19" s="133"/>
      <c r="D19" s="372"/>
      <c r="F19" s="365"/>
      <c r="G19" s="142"/>
      <c r="H19" s="142"/>
      <c r="I19" s="142"/>
      <c r="J19" s="142"/>
      <c r="K19" s="142"/>
      <c r="L19" s="142"/>
      <c r="M19" s="142"/>
      <c r="N19" s="142"/>
      <c r="O19" s="142"/>
      <c r="P19" s="142"/>
      <c r="Q19" s="142"/>
    </row>
    <row r="20" spans="2:17">
      <c r="B20" s="133"/>
      <c r="D20" s="372"/>
      <c r="F20" s="365"/>
      <c r="G20" s="142"/>
      <c r="H20" s="142"/>
      <c r="I20" s="142"/>
      <c r="J20" s="142"/>
      <c r="K20" s="142"/>
      <c r="L20" s="142"/>
      <c r="M20" s="142"/>
      <c r="N20" s="142"/>
      <c r="O20" s="142"/>
      <c r="P20" s="142"/>
      <c r="Q20" s="142"/>
    </row>
    <row r="21" spans="2:17" ht="12.75" customHeight="1">
      <c r="B21" s="133"/>
      <c r="D21" s="372"/>
      <c r="F21" s="365"/>
      <c r="G21" s="142"/>
      <c r="H21" s="142"/>
      <c r="I21" s="142"/>
      <c r="J21" s="142"/>
      <c r="K21" s="142"/>
      <c r="L21" s="142"/>
      <c r="M21" s="142"/>
      <c r="N21" s="142"/>
      <c r="O21" s="142"/>
      <c r="P21" s="142"/>
      <c r="Q21" s="142"/>
    </row>
    <row r="22" spans="2:17">
      <c r="B22" s="133"/>
      <c r="D22" s="372"/>
      <c r="F22" s="365"/>
      <c r="G22" s="142"/>
      <c r="H22" s="142"/>
      <c r="I22" s="142"/>
      <c r="J22" s="142"/>
      <c r="K22" s="142"/>
      <c r="L22" s="142"/>
      <c r="M22" s="142"/>
      <c r="N22" s="142"/>
      <c r="O22" s="142"/>
      <c r="P22" s="142"/>
      <c r="Q22" s="142"/>
    </row>
    <row r="23" spans="2:17">
      <c r="B23" s="133"/>
      <c r="D23" s="372"/>
      <c r="F23" s="365"/>
      <c r="G23" s="142"/>
      <c r="H23" s="142"/>
      <c r="I23" s="142"/>
      <c r="J23" s="142"/>
      <c r="K23" s="142"/>
      <c r="L23" s="142"/>
      <c r="M23" s="142"/>
      <c r="N23" s="142"/>
      <c r="O23" s="142"/>
      <c r="P23" s="142"/>
      <c r="Q23" s="142"/>
    </row>
    <row r="24" spans="2:17">
      <c r="B24" s="134"/>
      <c r="D24" s="373"/>
      <c r="F24" s="366"/>
      <c r="G24" s="142"/>
      <c r="H24" s="142"/>
      <c r="I24" s="142"/>
      <c r="J24" s="142"/>
      <c r="K24" s="142"/>
      <c r="L24" s="142"/>
      <c r="M24" s="142"/>
      <c r="N24" s="142"/>
      <c r="O24" s="142"/>
      <c r="P24" s="142"/>
      <c r="Q24" s="142"/>
    </row>
    <row r="25" spans="2:17" ht="6" customHeight="1">
      <c r="G25" s="142"/>
      <c r="H25" s="142"/>
      <c r="I25" s="142"/>
      <c r="J25" s="142"/>
      <c r="K25" s="142"/>
      <c r="L25" s="142"/>
      <c r="M25" s="142"/>
      <c r="N25" s="142"/>
      <c r="O25" s="142"/>
      <c r="P25" s="142"/>
      <c r="Q25" s="142"/>
    </row>
    <row r="26" spans="2:17">
      <c r="B26" s="33" t="str">
        <f>'Used Language'!$C$30</f>
        <v>Error Margin [+/-]:</v>
      </c>
      <c r="F26" s="141"/>
      <c r="G26" s="142"/>
      <c r="H26" s="142"/>
      <c r="I26" s="142"/>
      <c r="J26" s="142"/>
      <c r="K26" s="142"/>
      <c r="L26" s="142"/>
      <c r="M26" s="142"/>
      <c r="N26" s="142"/>
      <c r="O26" s="142"/>
      <c r="P26" s="142"/>
      <c r="Q26" s="142"/>
    </row>
    <row r="27" spans="2:17" ht="6" customHeight="1">
      <c r="G27" s="142"/>
      <c r="H27" s="142"/>
      <c r="I27" s="142"/>
      <c r="J27" s="142"/>
      <c r="K27" s="142"/>
      <c r="L27" s="142"/>
      <c r="M27" s="142"/>
      <c r="N27" s="142"/>
      <c r="O27" s="142"/>
      <c r="P27" s="142"/>
      <c r="Q27" s="142"/>
    </row>
    <row r="28" spans="2:17">
      <c r="B28" s="50" t="str">
        <f>'Used Language'!$C$45</f>
        <v>Average Pressure [m]</v>
      </c>
      <c r="G28" s="142"/>
      <c r="H28" s="142"/>
      <c r="I28" s="142"/>
      <c r="J28" s="142"/>
      <c r="K28" s="142"/>
      <c r="L28" s="142"/>
      <c r="M28" s="142"/>
      <c r="N28" s="142"/>
      <c r="O28" s="142"/>
      <c r="P28" s="142"/>
      <c r="Q28" s="142"/>
    </row>
    <row r="29" spans="2:17">
      <c r="B29" s="33" t="str">
        <f>'Used Language'!$C$62</f>
        <v>Minimum</v>
      </c>
      <c r="F29" s="128">
        <f>IF(F$33=" ", " ",F$33*(1-F$26))</f>
        <v>0</v>
      </c>
      <c r="G29" s="142"/>
      <c r="H29" s="142"/>
      <c r="I29" s="142"/>
      <c r="J29" s="142"/>
      <c r="K29" s="142"/>
      <c r="L29" s="142"/>
      <c r="M29" s="142"/>
      <c r="N29" s="142"/>
      <c r="O29" s="142"/>
      <c r="P29" s="142"/>
      <c r="Q29" s="142"/>
    </row>
    <row r="30" spans="2:17" ht="6" customHeight="1">
      <c r="F30" s="131"/>
      <c r="G30" s="142"/>
      <c r="H30" s="142"/>
      <c r="I30" s="142"/>
      <c r="J30" s="142"/>
      <c r="K30" s="142"/>
      <c r="L30" s="142"/>
      <c r="M30" s="142"/>
      <c r="N30" s="142"/>
      <c r="O30" s="142"/>
      <c r="P30" s="142"/>
      <c r="Q30" s="142"/>
    </row>
    <row r="31" spans="2:17">
      <c r="B31" s="33" t="str">
        <f>'Used Language'!$C$63</f>
        <v>Maximum</v>
      </c>
      <c r="F31" s="128">
        <f>IF(F$33=" ", " ",F$33*(1+F$26))</f>
        <v>0</v>
      </c>
      <c r="G31" s="142"/>
      <c r="H31" s="142"/>
      <c r="I31" s="142"/>
      <c r="J31" s="142"/>
      <c r="K31" s="142"/>
      <c r="L31" s="142"/>
      <c r="M31" s="142"/>
      <c r="N31" s="142"/>
      <c r="O31" s="142"/>
      <c r="P31" s="142"/>
      <c r="Q31" s="142"/>
    </row>
    <row r="32" spans="2:17" ht="6" customHeight="1">
      <c r="F32" s="131"/>
      <c r="G32" s="142"/>
      <c r="H32" s="142"/>
      <c r="I32" s="142"/>
      <c r="J32" s="142"/>
      <c r="K32" s="142"/>
      <c r="L32" s="142"/>
      <c r="M32" s="142"/>
      <c r="N32" s="142"/>
      <c r="O32" s="142"/>
      <c r="P32" s="142"/>
      <c r="Q32" s="142"/>
    </row>
    <row r="33" spans="2:17">
      <c r="B33" s="50" t="str">
        <f>'Used Language'!$C$64</f>
        <v>Best Estimate</v>
      </c>
      <c r="F33" s="127">
        <f>IF(SUM(D$7:D$24)&gt;0,((D$7*F$7+D$8*F$8+D$9*F$9+D$10*F$10+D$11*F$11+D$12*F$12+D$13*F$13+D$14*F$14+D$15*F$15+D$16*F$16+D$17*F$17+D$18*F$18+D$19*F$19+D$20*F$20+D$21*F$21+D$22*F$22+D$23*F$23+D$24*F$24)/SUM(D$7:D$24)),0)</f>
        <v>0</v>
      </c>
      <c r="G33" s="142"/>
      <c r="H33" s="142"/>
      <c r="I33" s="142"/>
      <c r="J33" s="142"/>
      <c r="K33" s="142"/>
      <c r="L33" s="142"/>
      <c r="M33" s="142"/>
      <c r="N33" s="142"/>
      <c r="O33" s="142"/>
      <c r="P33" s="142"/>
      <c r="Q33" s="142"/>
    </row>
    <row r="34" spans="2:17">
      <c r="G34" s="142"/>
      <c r="H34" s="142"/>
      <c r="I34" s="142"/>
      <c r="J34" s="142"/>
      <c r="K34" s="142"/>
      <c r="L34" s="142"/>
      <c r="M34" s="142"/>
      <c r="N34" s="142"/>
      <c r="O34" s="142"/>
      <c r="P34" s="142"/>
      <c r="Q34" s="142"/>
    </row>
    <row r="35" spans="2:17">
      <c r="G35" s="142"/>
      <c r="H35" s="142"/>
      <c r="I35" s="142"/>
      <c r="J35" s="142"/>
      <c r="K35" s="142"/>
      <c r="L35" s="142"/>
      <c r="M35" s="142"/>
      <c r="N35" s="142"/>
      <c r="O35" s="142"/>
      <c r="P35" s="142"/>
      <c r="Q35" s="142"/>
    </row>
    <row r="36" spans="2:17">
      <c r="G36" s="142"/>
      <c r="H36" s="142"/>
      <c r="I36" s="142"/>
      <c r="J36" s="142"/>
      <c r="K36" s="142"/>
      <c r="L36" s="142"/>
      <c r="M36" s="142"/>
      <c r="N36" s="142"/>
      <c r="O36" s="142"/>
      <c r="P36" s="142"/>
      <c r="Q36" s="142"/>
    </row>
    <row r="37" spans="2:17">
      <c r="G37" s="142"/>
      <c r="H37" s="142"/>
      <c r="I37" s="142"/>
      <c r="J37" s="142"/>
      <c r="K37" s="142"/>
      <c r="L37" s="142"/>
      <c r="M37" s="142"/>
      <c r="N37" s="142"/>
      <c r="O37" s="142"/>
      <c r="P37" s="142"/>
      <c r="Q37" s="142"/>
    </row>
    <row r="38" spans="2:17">
      <c r="G38" s="142"/>
      <c r="H38" s="142"/>
      <c r="I38" s="142"/>
      <c r="J38" s="142"/>
      <c r="K38" s="142"/>
      <c r="L38" s="142"/>
      <c r="M38" s="142"/>
      <c r="N38" s="142"/>
      <c r="O38" s="142"/>
      <c r="P38" s="142"/>
      <c r="Q38" s="142"/>
    </row>
    <row r="39" spans="2:17">
      <c r="G39" s="142"/>
      <c r="H39" s="142"/>
      <c r="I39" s="142"/>
      <c r="J39" s="142"/>
      <c r="K39" s="142"/>
      <c r="L39" s="142"/>
      <c r="M39" s="142"/>
      <c r="N39" s="142"/>
      <c r="O39" s="142"/>
      <c r="P39" s="142"/>
      <c r="Q39" s="142"/>
    </row>
    <row r="40" spans="2:17">
      <c r="G40" s="142"/>
      <c r="H40" s="142"/>
      <c r="I40" s="142"/>
      <c r="J40" s="142"/>
      <c r="K40" s="142"/>
      <c r="L40" s="142"/>
      <c r="M40" s="142"/>
      <c r="N40" s="142"/>
      <c r="O40" s="142"/>
      <c r="P40" s="142"/>
      <c r="Q40" s="142"/>
    </row>
    <row r="41" spans="2:17">
      <c r="G41" s="142"/>
      <c r="H41" s="142"/>
      <c r="I41" s="142"/>
      <c r="J41" s="142"/>
      <c r="K41" s="142"/>
      <c r="L41" s="142"/>
      <c r="M41" s="142"/>
      <c r="N41" s="142"/>
      <c r="O41" s="142"/>
      <c r="P41" s="142"/>
      <c r="Q41" s="142"/>
    </row>
    <row r="42" spans="2:17">
      <c r="G42" s="142"/>
      <c r="H42" s="142"/>
      <c r="I42" s="142"/>
      <c r="J42" s="142"/>
      <c r="K42" s="142"/>
      <c r="L42" s="142"/>
      <c r="M42" s="142"/>
      <c r="N42" s="142"/>
      <c r="O42" s="142"/>
      <c r="P42" s="142"/>
      <c r="Q42" s="142"/>
    </row>
    <row r="43" spans="2:17">
      <c r="G43" s="142"/>
      <c r="H43" s="142"/>
      <c r="I43" s="142"/>
      <c r="J43" s="142"/>
      <c r="K43" s="142"/>
      <c r="L43" s="142"/>
      <c r="M43" s="142"/>
      <c r="N43" s="142"/>
      <c r="O43" s="142"/>
      <c r="P43" s="142"/>
      <c r="Q43" s="142"/>
    </row>
    <row r="44" spans="2:17">
      <c r="G44" s="142"/>
      <c r="H44" s="142"/>
      <c r="I44" s="142"/>
      <c r="J44" s="142"/>
      <c r="K44" s="142"/>
      <c r="L44" s="142"/>
      <c r="M44" s="142"/>
      <c r="N44" s="142"/>
      <c r="O44" s="142"/>
      <c r="P44" s="142"/>
      <c r="Q44" s="142"/>
    </row>
    <row r="45" spans="2:17">
      <c r="G45" s="142"/>
      <c r="H45" s="142"/>
      <c r="I45" s="142"/>
      <c r="J45" s="142"/>
      <c r="K45" s="142"/>
      <c r="L45" s="142"/>
      <c r="M45" s="142"/>
      <c r="N45" s="142"/>
      <c r="O45" s="142"/>
      <c r="P45" s="142"/>
      <c r="Q45" s="142"/>
    </row>
    <row r="46" spans="2:17">
      <c r="G46" s="142"/>
      <c r="H46" s="142"/>
      <c r="I46" s="142"/>
      <c r="J46" s="142"/>
      <c r="K46" s="142"/>
      <c r="L46" s="142"/>
      <c r="M46" s="142"/>
      <c r="N46" s="142"/>
      <c r="O46" s="142"/>
      <c r="P46" s="142"/>
      <c r="Q46" s="142"/>
    </row>
    <row r="47" spans="2:17">
      <c r="G47" s="142"/>
      <c r="H47" s="142"/>
      <c r="I47" s="142"/>
      <c r="J47" s="142"/>
      <c r="K47" s="142"/>
      <c r="L47" s="142"/>
      <c r="M47" s="142"/>
      <c r="N47" s="142"/>
      <c r="O47" s="142"/>
      <c r="P47" s="142"/>
      <c r="Q47" s="142"/>
    </row>
    <row r="48" spans="2:17">
      <c r="G48" s="142"/>
      <c r="H48" s="142"/>
      <c r="I48" s="142"/>
      <c r="J48" s="142"/>
      <c r="K48" s="142"/>
      <c r="L48" s="142"/>
      <c r="M48" s="142"/>
      <c r="N48" s="142"/>
      <c r="O48" s="142"/>
      <c r="P48" s="142"/>
      <c r="Q48" s="142"/>
    </row>
    <row r="49" spans="7:17">
      <c r="G49" s="142"/>
      <c r="H49" s="142"/>
      <c r="I49" s="142"/>
      <c r="J49" s="142"/>
      <c r="K49" s="142"/>
      <c r="L49" s="142"/>
      <c r="M49" s="142"/>
      <c r="N49" s="142"/>
      <c r="O49" s="142"/>
      <c r="P49" s="142"/>
      <c r="Q49" s="142"/>
    </row>
    <row r="50" spans="7:17">
      <c r="G50" s="142"/>
      <c r="H50" s="142"/>
      <c r="I50" s="142"/>
      <c r="J50" s="142"/>
      <c r="K50" s="142"/>
      <c r="L50" s="142"/>
      <c r="M50" s="142"/>
      <c r="N50" s="142"/>
      <c r="O50" s="142"/>
      <c r="P50" s="142"/>
      <c r="Q50" s="142"/>
    </row>
    <row r="51" spans="7:17">
      <c r="G51" s="142"/>
      <c r="H51" s="142"/>
      <c r="I51" s="142"/>
      <c r="J51" s="142"/>
      <c r="K51" s="142"/>
      <c r="L51" s="142"/>
      <c r="M51" s="142"/>
      <c r="N51" s="142"/>
      <c r="O51" s="142"/>
      <c r="P51" s="142"/>
      <c r="Q51" s="142"/>
    </row>
    <row r="52" spans="7:17">
      <c r="G52" s="142"/>
      <c r="H52" s="142"/>
      <c r="I52" s="142"/>
      <c r="J52" s="142"/>
      <c r="K52" s="142"/>
      <c r="L52" s="142"/>
      <c r="M52" s="142"/>
      <c r="N52" s="142"/>
      <c r="O52" s="142"/>
      <c r="P52" s="142"/>
      <c r="Q52" s="142"/>
    </row>
    <row r="53" spans="7:17">
      <c r="G53" s="142"/>
      <c r="H53" s="142"/>
      <c r="I53" s="142"/>
      <c r="J53" s="142"/>
      <c r="K53" s="142"/>
      <c r="L53" s="142"/>
      <c r="M53" s="142"/>
      <c r="N53" s="142"/>
      <c r="O53" s="142"/>
      <c r="P53" s="142"/>
      <c r="Q53" s="142"/>
    </row>
  </sheetData>
  <sheetProtection algorithmName="SHA-512" hashValue="lF6CRO45KgIiHy4Wy81zh2tqAPM1p2pMTnd7OIMZRMcDmgwbFcQpUATbspvt26OtjRsmCGHk5Fm6V9FvPM9f3w==" saltValue="DJ9jsHhIYpW0usn6ThBE/g==" spinCount="100000" sheet="1" objects="1" scenarios="1"/>
  <mergeCells count="5">
    <mergeCell ref="H4:J5"/>
    <mergeCell ref="F4:F5"/>
    <mergeCell ref="D4:D5"/>
    <mergeCell ref="B2:F2"/>
    <mergeCell ref="B4:B5"/>
  </mergeCells>
  <phoneticPr fontId="7" type="noConversion"/>
  <hyperlinks>
    <hyperlink ref="H4:H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B1:U34"/>
  <sheetViews>
    <sheetView topLeftCell="A4" workbookViewId="0">
      <selection activeCell="B7" sqref="B7"/>
    </sheetView>
  </sheetViews>
  <sheetFormatPr baseColWidth="10" defaultColWidth="11.453125" defaultRowHeight="14.5"/>
  <cols>
    <col min="1" max="1" width="2.26953125" style="33" customWidth="1"/>
    <col min="2" max="2" width="24.81640625" style="33" customWidth="1"/>
    <col min="3" max="3" width="2.1796875" style="33" customWidth="1"/>
    <col min="4" max="4" width="16.453125" style="33" customWidth="1"/>
    <col min="5" max="5" width="2.1796875" style="33" customWidth="1"/>
    <col min="6" max="6" width="14.26953125" style="33" customWidth="1"/>
    <col min="7" max="7" width="2.1796875" style="33" customWidth="1"/>
    <col min="8" max="8" width="14.54296875" style="33" customWidth="1"/>
    <col min="9" max="9" width="2.26953125" style="33" customWidth="1"/>
    <col min="10" max="10" width="15.54296875" style="33" customWidth="1"/>
    <col min="11" max="11" width="2.26953125" style="33" customWidth="1"/>
    <col min="12" max="16384" width="11.453125" style="33"/>
  </cols>
  <sheetData>
    <row r="1" spans="2:21" ht="5.25" customHeight="1"/>
    <row r="2" spans="2:21" ht="22.5" customHeight="1">
      <c r="B2" s="542" t="str">
        <f>'Used Language'!C71</f>
        <v>Intermittent Supply</v>
      </c>
      <c r="C2" s="543"/>
      <c r="D2" s="543"/>
      <c r="E2" s="543"/>
      <c r="F2" s="543"/>
      <c r="G2" s="543"/>
      <c r="H2" s="544"/>
    </row>
    <row r="3" spans="2:21" ht="5.25" customHeight="1" thickBot="1"/>
    <row r="4" spans="2:21" ht="48.65" customHeight="1" thickTop="1">
      <c r="B4" s="552" t="str">
        <f>'Used Language'!C72</f>
        <v>Area</v>
      </c>
      <c r="C4" s="50"/>
      <c r="D4" s="552" t="str">
        <f>'Used Language'!$C$73</f>
        <v>Approximate Number of Connections</v>
      </c>
      <c r="E4" s="50"/>
      <c r="F4" s="552" t="str">
        <f>'Used Language'!C75</f>
        <v>Supply Time
[days per week]</v>
      </c>
      <c r="H4" s="552" t="str">
        <f>'Used Language'!C76</f>
        <v>Supply Time
[hours per day]</v>
      </c>
      <c r="I4" s="51"/>
      <c r="J4" s="554" t="str">
        <f>'Used Language'!C128</f>
        <v>Home</v>
      </c>
      <c r="K4" s="555"/>
      <c r="L4" s="556"/>
    </row>
    <row r="5" spans="2:21" ht="13.5" customHeight="1" thickBot="1">
      <c r="B5" s="553"/>
      <c r="C5" s="50"/>
      <c r="D5" s="553"/>
      <c r="E5" s="50"/>
      <c r="F5" s="553"/>
      <c r="H5" s="553"/>
      <c r="I5" s="51"/>
      <c r="J5" s="560"/>
      <c r="K5" s="561"/>
      <c r="L5" s="562"/>
    </row>
    <row r="6" spans="2:21" ht="6" customHeight="1" thickTop="1">
      <c r="I6" s="51"/>
    </row>
    <row r="7" spans="2:21" ht="12.75" customHeight="1">
      <c r="B7" s="132"/>
      <c r="D7" s="135"/>
      <c r="F7" s="135"/>
      <c r="H7" s="138"/>
      <c r="I7" s="142">
        <f t="shared" ref="I7:I24" si="0">D7*F7*H7</f>
        <v>0</v>
      </c>
      <c r="J7" s="142"/>
      <c r="K7" s="142"/>
      <c r="L7" s="142"/>
      <c r="M7" s="142"/>
      <c r="N7" s="142"/>
      <c r="O7" s="142"/>
      <c r="P7" s="142"/>
      <c r="Q7" s="142"/>
      <c r="R7" s="142"/>
      <c r="S7" s="142"/>
      <c r="T7" s="142"/>
      <c r="U7" s="142"/>
    </row>
    <row r="8" spans="2:21">
      <c r="B8" s="133"/>
      <c r="D8" s="136"/>
      <c r="F8" s="136"/>
      <c r="H8" s="139"/>
      <c r="I8" s="142">
        <f t="shared" si="0"/>
        <v>0</v>
      </c>
      <c r="J8" s="142"/>
      <c r="K8" s="142"/>
      <c r="L8" s="142"/>
      <c r="M8" s="142"/>
      <c r="N8" s="142"/>
      <c r="O8" s="142"/>
      <c r="P8" s="142"/>
      <c r="Q8" s="142"/>
      <c r="R8" s="142"/>
      <c r="S8" s="142"/>
      <c r="T8" s="142"/>
      <c r="U8" s="142"/>
    </row>
    <row r="9" spans="2:21">
      <c r="B9" s="133"/>
      <c r="D9" s="136"/>
      <c r="F9" s="136"/>
      <c r="H9" s="139"/>
      <c r="I9" s="142">
        <f t="shared" si="0"/>
        <v>0</v>
      </c>
      <c r="J9" s="142"/>
      <c r="K9" s="142"/>
      <c r="L9" s="142"/>
      <c r="M9" s="142"/>
      <c r="N9" s="142"/>
      <c r="O9" s="142"/>
      <c r="P9" s="142"/>
      <c r="Q9" s="142"/>
      <c r="R9" s="142"/>
      <c r="S9" s="142"/>
      <c r="T9" s="142"/>
      <c r="U9" s="142"/>
    </row>
    <row r="10" spans="2:21">
      <c r="B10" s="133"/>
      <c r="D10" s="136"/>
      <c r="F10" s="136"/>
      <c r="H10" s="139"/>
      <c r="I10" s="142">
        <f t="shared" si="0"/>
        <v>0</v>
      </c>
      <c r="J10" s="142"/>
      <c r="K10" s="142"/>
      <c r="L10" s="142"/>
      <c r="M10" s="142"/>
      <c r="N10" s="142"/>
      <c r="O10" s="142"/>
      <c r="P10" s="142"/>
      <c r="Q10" s="142"/>
      <c r="R10" s="142"/>
      <c r="S10" s="142"/>
      <c r="T10" s="142"/>
      <c r="U10" s="142"/>
    </row>
    <row r="11" spans="2:21">
      <c r="B11" s="133"/>
      <c r="D11" s="136"/>
      <c r="F11" s="136"/>
      <c r="H11" s="139"/>
      <c r="I11" s="142">
        <f t="shared" si="0"/>
        <v>0</v>
      </c>
      <c r="J11" s="142"/>
      <c r="K11" s="142"/>
      <c r="L11" s="142"/>
      <c r="M11" s="142"/>
      <c r="N11" s="142"/>
      <c r="O11" s="142"/>
      <c r="P11" s="142"/>
      <c r="Q11" s="142"/>
      <c r="R11" s="142"/>
      <c r="S11" s="142"/>
      <c r="T11" s="142"/>
      <c r="U11" s="142"/>
    </row>
    <row r="12" spans="2:21">
      <c r="B12" s="133"/>
      <c r="D12" s="136"/>
      <c r="F12" s="136"/>
      <c r="H12" s="139"/>
      <c r="I12" s="142">
        <f t="shared" si="0"/>
        <v>0</v>
      </c>
      <c r="J12" s="142"/>
      <c r="K12" s="142"/>
      <c r="L12" s="142"/>
      <c r="M12" s="142"/>
      <c r="N12" s="142"/>
      <c r="O12" s="142"/>
      <c r="P12" s="142"/>
      <c r="Q12" s="142"/>
      <c r="R12" s="142"/>
      <c r="S12" s="142"/>
      <c r="T12" s="142"/>
      <c r="U12" s="142"/>
    </row>
    <row r="13" spans="2:21">
      <c r="B13" s="133"/>
      <c r="D13" s="136"/>
      <c r="F13" s="136"/>
      <c r="H13" s="139"/>
      <c r="I13" s="142">
        <f t="shared" si="0"/>
        <v>0</v>
      </c>
      <c r="J13" s="142"/>
      <c r="K13" s="142"/>
      <c r="L13" s="142"/>
      <c r="M13" s="142"/>
      <c r="N13" s="142"/>
      <c r="O13" s="142"/>
      <c r="P13" s="142"/>
      <c r="Q13" s="142"/>
      <c r="R13" s="142"/>
      <c r="S13" s="142"/>
      <c r="T13" s="142"/>
      <c r="U13" s="142"/>
    </row>
    <row r="14" spans="2:21">
      <c r="B14" s="133"/>
      <c r="D14" s="136"/>
      <c r="F14" s="136"/>
      <c r="H14" s="139"/>
      <c r="I14" s="142">
        <f t="shared" si="0"/>
        <v>0</v>
      </c>
      <c r="J14" s="142"/>
      <c r="K14" s="142"/>
      <c r="L14" s="142"/>
      <c r="M14" s="142"/>
      <c r="N14" s="142"/>
      <c r="O14" s="142"/>
      <c r="P14" s="142"/>
      <c r="Q14" s="142"/>
      <c r="R14" s="142"/>
      <c r="S14" s="142"/>
      <c r="T14" s="142"/>
      <c r="U14" s="142"/>
    </row>
    <row r="15" spans="2:21" ht="12.75" customHeight="1">
      <c r="B15" s="133"/>
      <c r="D15" s="136"/>
      <c r="F15" s="136"/>
      <c r="H15" s="139"/>
      <c r="I15" s="142">
        <f t="shared" si="0"/>
        <v>0</v>
      </c>
      <c r="J15" s="142"/>
      <c r="K15" s="142"/>
      <c r="L15" s="142"/>
      <c r="M15" s="142"/>
      <c r="N15" s="142"/>
      <c r="O15" s="142"/>
      <c r="P15" s="142"/>
      <c r="Q15" s="142"/>
      <c r="R15" s="142"/>
      <c r="S15" s="142"/>
      <c r="T15" s="142"/>
      <c r="U15" s="142"/>
    </row>
    <row r="16" spans="2:21">
      <c r="B16" s="133"/>
      <c r="D16" s="136"/>
      <c r="F16" s="136"/>
      <c r="H16" s="139"/>
      <c r="I16" s="142">
        <f t="shared" si="0"/>
        <v>0</v>
      </c>
      <c r="J16" s="142"/>
      <c r="K16" s="142"/>
      <c r="L16" s="142"/>
      <c r="M16" s="142"/>
      <c r="N16" s="142"/>
      <c r="O16" s="142"/>
      <c r="P16" s="142"/>
      <c r="Q16" s="142"/>
      <c r="R16" s="142"/>
      <c r="S16" s="142"/>
      <c r="T16" s="142"/>
      <c r="U16" s="142"/>
    </row>
    <row r="17" spans="2:21">
      <c r="B17" s="133"/>
      <c r="D17" s="136"/>
      <c r="F17" s="136"/>
      <c r="H17" s="139"/>
      <c r="I17" s="142">
        <f t="shared" si="0"/>
        <v>0</v>
      </c>
      <c r="J17" s="142"/>
      <c r="K17" s="142"/>
      <c r="L17" s="142"/>
      <c r="M17" s="142"/>
      <c r="N17" s="142"/>
      <c r="O17" s="142"/>
      <c r="P17" s="142"/>
      <c r="Q17" s="142"/>
      <c r="R17" s="142"/>
      <c r="S17" s="142"/>
      <c r="T17" s="142"/>
      <c r="U17" s="142"/>
    </row>
    <row r="18" spans="2:21">
      <c r="B18" s="133"/>
      <c r="D18" s="136"/>
      <c r="F18" s="136"/>
      <c r="H18" s="139"/>
      <c r="I18" s="142">
        <f t="shared" si="0"/>
        <v>0</v>
      </c>
      <c r="J18" s="142"/>
      <c r="K18" s="142"/>
      <c r="L18" s="142"/>
      <c r="M18" s="142"/>
      <c r="N18" s="142"/>
      <c r="O18" s="142"/>
      <c r="P18" s="142"/>
      <c r="Q18" s="142"/>
      <c r="R18" s="142"/>
      <c r="S18" s="142"/>
      <c r="T18" s="142"/>
      <c r="U18" s="142"/>
    </row>
    <row r="19" spans="2:21">
      <c r="B19" s="133"/>
      <c r="D19" s="136"/>
      <c r="F19" s="136"/>
      <c r="H19" s="139"/>
      <c r="I19" s="142">
        <f t="shared" si="0"/>
        <v>0</v>
      </c>
      <c r="J19" s="142"/>
      <c r="K19" s="142"/>
      <c r="L19" s="142"/>
      <c r="M19" s="142"/>
      <c r="N19" s="142"/>
      <c r="O19" s="142"/>
      <c r="P19" s="142"/>
      <c r="Q19" s="142"/>
      <c r="R19" s="142"/>
      <c r="S19" s="142"/>
      <c r="T19" s="142"/>
      <c r="U19" s="142"/>
    </row>
    <row r="20" spans="2:21">
      <c r="B20" s="133"/>
      <c r="D20" s="136"/>
      <c r="F20" s="136"/>
      <c r="H20" s="139"/>
      <c r="I20" s="142">
        <f t="shared" si="0"/>
        <v>0</v>
      </c>
      <c r="J20" s="142"/>
      <c r="K20" s="142"/>
      <c r="L20" s="142"/>
      <c r="M20" s="142"/>
      <c r="N20" s="142"/>
      <c r="O20" s="142"/>
      <c r="P20" s="142"/>
      <c r="Q20" s="142"/>
      <c r="R20" s="142"/>
      <c r="S20" s="142"/>
      <c r="T20" s="142"/>
      <c r="U20" s="142"/>
    </row>
    <row r="21" spans="2:21" ht="12.75" customHeight="1">
      <c r="B21" s="133"/>
      <c r="D21" s="136"/>
      <c r="F21" s="136"/>
      <c r="H21" s="139"/>
      <c r="I21" s="142">
        <f t="shared" si="0"/>
        <v>0</v>
      </c>
      <c r="J21" s="142"/>
      <c r="K21" s="142"/>
      <c r="L21" s="142"/>
      <c r="M21" s="142"/>
      <c r="N21" s="142"/>
      <c r="O21" s="142"/>
      <c r="P21" s="142"/>
      <c r="Q21" s="142"/>
      <c r="R21" s="142"/>
      <c r="S21" s="142"/>
      <c r="T21" s="142"/>
      <c r="U21" s="142"/>
    </row>
    <row r="22" spans="2:21">
      <c r="B22" s="133"/>
      <c r="D22" s="136"/>
      <c r="F22" s="136"/>
      <c r="H22" s="139"/>
      <c r="I22" s="142">
        <f t="shared" si="0"/>
        <v>0</v>
      </c>
      <c r="J22" s="142"/>
      <c r="K22" s="142"/>
      <c r="L22" s="142"/>
      <c r="M22" s="142"/>
      <c r="N22" s="142"/>
      <c r="O22" s="142"/>
      <c r="P22" s="142"/>
      <c r="Q22" s="142"/>
      <c r="R22" s="142"/>
      <c r="S22" s="142"/>
      <c r="T22" s="142"/>
      <c r="U22" s="142"/>
    </row>
    <row r="23" spans="2:21">
      <c r="B23" s="133"/>
      <c r="D23" s="136"/>
      <c r="F23" s="136"/>
      <c r="H23" s="139"/>
      <c r="I23" s="142">
        <f t="shared" si="0"/>
        <v>0</v>
      </c>
      <c r="J23" s="142"/>
      <c r="K23" s="142"/>
      <c r="L23" s="142"/>
      <c r="M23" s="142"/>
      <c r="N23" s="142"/>
      <c r="O23" s="142"/>
      <c r="P23" s="142"/>
      <c r="Q23" s="142"/>
      <c r="R23" s="142"/>
      <c r="S23" s="142"/>
      <c r="T23" s="142"/>
      <c r="U23" s="142"/>
    </row>
    <row r="24" spans="2:21">
      <c r="B24" s="134"/>
      <c r="D24" s="137"/>
      <c r="F24" s="137"/>
      <c r="H24" s="140"/>
      <c r="I24" s="142">
        <f t="shared" si="0"/>
        <v>0</v>
      </c>
      <c r="J24" s="142"/>
      <c r="K24" s="142"/>
      <c r="L24" s="142"/>
      <c r="M24" s="142"/>
      <c r="N24" s="142"/>
      <c r="O24" s="142"/>
      <c r="P24" s="142"/>
      <c r="Q24" s="142"/>
      <c r="R24" s="142"/>
      <c r="S24" s="142"/>
      <c r="T24" s="142"/>
      <c r="U24" s="142"/>
    </row>
    <row r="25" spans="2:21" ht="6" customHeight="1">
      <c r="I25" s="142"/>
      <c r="J25" s="142"/>
      <c r="K25" s="142"/>
      <c r="L25" s="142"/>
      <c r="M25" s="142"/>
      <c r="N25" s="142"/>
      <c r="O25" s="142"/>
      <c r="P25" s="142"/>
      <c r="Q25" s="142"/>
      <c r="R25" s="142"/>
      <c r="S25" s="142"/>
      <c r="T25" s="142"/>
      <c r="U25" s="142"/>
    </row>
    <row r="26" spans="2:21">
      <c r="B26" s="33" t="str">
        <f>'Used Language'!$C$30</f>
        <v>Error Margin [+/-]:</v>
      </c>
      <c r="H26" s="141"/>
      <c r="I26" s="142"/>
      <c r="J26" s="142"/>
      <c r="K26" s="142"/>
      <c r="L26" s="142"/>
      <c r="M26" s="142"/>
      <c r="N26" s="142"/>
      <c r="O26" s="142"/>
      <c r="P26" s="142"/>
      <c r="Q26" s="142"/>
      <c r="R26" s="142"/>
      <c r="S26" s="142"/>
      <c r="T26" s="142"/>
      <c r="U26" s="142"/>
    </row>
    <row r="27" spans="2:21" ht="6" customHeight="1">
      <c r="I27" s="142"/>
      <c r="J27" s="142"/>
      <c r="K27" s="142"/>
      <c r="L27" s="142"/>
      <c r="M27" s="142"/>
      <c r="N27" s="142"/>
      <c r="O27" s="142"/>
      <c r="P27" s="142"/>
      <c r="Q27" s="142"/>
      <c r="R27" s="142"/>
      <c r="S27" s="142"/>
      <c r="T27" s="142"/>
      <c r="U27" s="142"/>
    </row>
    <row r="28" spans="2:21">
      <c r="B28" s="50" t="str">
        <f>'Used Language'!$C$44</f>
        <v>Average Supply Time [h/day]</v>
      </c>
      <c r="I28" s="142"/>
      <c r="J28" s="142"/>
      <c r="K28" s="142"/>
      <c r="L28" s="142"/>
      <c r="M28" s="142"/>
      <c r="N28" s="142"/>
      <c r="O28" s="142"/>
      <c r="P28" s="142"/>
      <c r="Q28" s="142"/>
      <c r="R28" s="142"/>
      <c r="S28" s="142"/>
      <c r="T28" s="142"/>
      <c r="U28" s="142"/>
    </row>
    <row r="29" spans="2:21">
      <c r="B29" s="33" t="str">
        <f>'Used Language'!$C$62</f>
        <v>Minimum</v>
      </c>
      <c r="H29" s="128">
        <f>H$33*(1-H$26)</f>
        <v>24</v>
      </c>
      <c r="I29" s="142"/>
      <c r="J29" s="142"/>
      <c r="K29" s="142"/>
      <c r="L29" s="142"/>
      <c r="M29" s="142"/>
      <c r="N29" s="142"/>
      <c r="O29" s="142"/>
      <c r="P29" s="142"/>
      <c r="Q29" s="142"/>
      <c r="R29" s="142"/>
      <c r="S29" s="142"/>
      <c r="T29" s="142"/>
      <c r="U29" s="142"/>
    </row>
    <row r="30" spans="2:21" ht="6" customHeight="1">
      <c r="H30" s="131"/>
      <c r="I30" s="142"/>
      <c r="J30" s="142"/>
      <c r="K30" s="142"/>
      <c r="L30" s="142"/>
      <c r="M30" s="142"/>
      <c r="N30" s="142"/>
      <c r="O30" s="142"/>
      <c r="P30" s="142"/>
      <c r="Q30" s="142"/>
      <c r="R30" s="142"/>
      <c r="S30" s="142"/>
      <c r="T30" s="142"/>
      <c r="U30" s="142"/>
    </row>
    <row r="31" spans="2:21">
      <c r="B31" s="33" t="str">
        <f>'Used Language'!$C$63</f>
        <v>Maximum</v>
      </c>
      <c r="H31" s="128">
        <f>IF(H$33=24,24,IF(H$33*(1+H$26)&gt;24,24,(H$33*(1+H$26))))</f>
        <v>24</v>
      </c>
      <c r="I31" s="142"/>
      <c r="J31" s="142"/>
      <c r="K31" s="142"/>
      <c r="L31" s="142"/>
      <c r="M31" s="142"/>
      <c r="N31" s="142"/>
      <c r="O31" s="142"/>
      <c r="P31" s="142"/>
      <c r="Q31" s="142"/>
      <c r="R31" s="142"/>
      <c r="S31" s="142"/>
      <c r="T31" s="142"/>
      <c r="U31" s="142"/>
    </row>
    <row r="32" spans="2:21" ht="6" customHeight="1">
      <c r="H32" s="131"/>
      <c r="I32" s="142"/>
      <c r="J32" s="142"/>
      <c r="K32" s="142"/>
      <c r="L32" s="142"/>
      <c r="M32" s="142"/>
      <c r="N32" s="142"/>
      <c r="O32" s="142"/>
      <c r="P32" s="142"/>
      <c r="Q32" s="142"/>
      <c r="R32" s="142"/>
      <c r="S32" s="142"/>
      <c r="T32" s="142"/>
      <c r="U32" s="142"/>
    </row>
    <row r="33" spans="2:21">
      <c r="B33" s="50" t="str">
        <f>'Used Language'!$C$64</f>
        <v>Best Estimate</v>
      </c>
      <c r="H33" s="127">
        <f>IF(SUM(H$7:H$24)&gt;0,SUM(I7:I24)/SUM(D$7:D$24)/7,24)</f>
        <v>24</v>
      </c>
      <c r="I33" s="142"/>
      <c r="J33" s="142"/>
      <c r="K33" s="142"/>
      <c r="L33" s="142"/>
      <c r="M33" s="142"/>
      <c r="N33" s="142"/>
      <c r="O33" s="142"/>
      <c r="P33" s="142"/>
      <c r="Q33" s="142"/>
      <c r="R33" s="142"/>
      <c r="S33" s="142"/>
      <c r="T33" s="142"/>
      <c r="U33" s="142"/>
    </row>
    <row r="34" spans="2:21">
      <c r="I34" s="142"/>
      <c r="J34" s="142"/>
      <c r="K34" s="142"/>
      <c r="L34" s="142"/>
      <c r="M34" s="142"/>
      <c r="N34" s="142"/>
      <c r="O34" s="142"/>
      <c r="P34" s="142"/>
      <c r="Q34" s="142"/>
      <c r="R34" s="142"/>
      <c r="S34" s="142"/>
      <c r="T34" s="142"/>
      <c r="U34" s="142"/>
    </row>
  </sheetData>
  <sheetProtection algorithmName="SHA-512" hashValue="9NnqR3GeMLXZV5H0yQ+hOsrMfx9NWXqynSf2MGhZGd7TeItnTSeg78bP5vngzZwta4KdLRAFy/Q8WfUQHJV7nA==" saltValue="de0IWRpHA1qhdXoau3FaYg==" spinCount="100000" sheet="1" objects="1" scenarios="1"/>
  <mergeCells count="6">
    <mergeCell ref="J4:L5"/>
    <mergeCell ref="B2:H2"/>
    <mergeCell ref="F4:F5"/>
    <mergeCell ref="H4:H5"/>
    <mergeCell ref="B4:B5"/>
    <mergeCell ref="D4:D5"/>
  </mergeCells>
  <phoneticPr fontId="7" type="noConversion"/>
  <hyperlinks>
    <hyperlink ref="J4:J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B1:P40"/>
  <sheetViews>
    <sheetView zoomScaleNormal="100" zoomScaleSheetLayoutView="90" workbookViewId="0">
      <selection activeCell="M2" sqref="M2:O5"/>
    </sheetView>
  </sheetViews>
  <sheetFormatPr baseColWidth="10" defaultColWidth="11.453125" defaultRowHeight="14.5"/>
  <cols>
    <col min="1" max="1" width="2.26953125" style="33" customWidth="1"/>
    <col min="2" max="2" width="22.1796875" style="33" customWidth="1"/>
    <col min="3" max="3" width="22.7265625" style="33" customWidth="1"/>
    <col min="4" max="4" width="12.54296875" style="33" customWidth="1"/>
    <col min="5" max="5" width="2.81640625" style="33" customWidth="1"/>
    <col min="6" max="6" width="2.1796875" style="33" customWidth="1"/>
    <col min="7" max="9" width="8" style="33" customWidth="1"/>
    <col min="10" max="10" width="2" style="33" customWidth="1"/>
    <col min="11" max="11" width="12" style="33" customWidth="1"/>
    <col min="12" max="12" width="2.26953125" style="33" customWidth="1"/>
    <col min="13" max="13" width="15.26953125" style="33" customWidth="1"/>
    <col min="14" max="14" width="2.26953125" style="33" customWidth="1"/>
    <col min="15" max="15" width="11.453125" style="33"/>
    <col min="16" max="16" width="16.7265625" style="33" bestFit="1" customWidth="1"/>
    <col min="17" max="16384" width="11.453125" style="33"/>
  </cols>
  <sheetData>
    <row r="1" spans="2:16" ht="5.25" customHeight="1" thickBot="1"/>
    <row r="2" spans="2:16" ht="22.5" customHeight="1" thickTop="1">
      <c r="B2" s="542" t="str">
        <f>'Used Language'!C80</f>
        <v>Financial Information</v>
      </c>
      <c r="C2" s="543"/>
      <c r="D2" s="543"/>
      <c r="E2" s="543"/>
      <c r="F2" s="543"/>
      <c r="G2" s="543"/>
      <c r="H2" s="543"/>
      <c r="I2" s="543"/>
      <c r="J2" s="543"/>
      <c r="K2" s="544"/>
      <c r="L2" s="147"/>
      <c r="M2" s="554" t="str">
        <f>'Used Language'!C128</f>
        <v>Home</v>
      </c>
      <c r="N2" s="555"/>
      <c r="O2" s="556"/>
    </row>
    <row r="3" spans="2:16" ht="5.25" customHeight="1">
      <c r="M3" s="557"/>
      <c r="N3" s="558"/>
      <c r="O3" s="559"/>
    </row>
    <row r="4" spans="2:16" ht="28.5" customHeight="1">
      <c r="D4" s="51"/>
      <c r="E4" s="51"/>
      <c r="F4" s="51"/>
      <c r="G4" s="612" t="str">
        <f>'Used Language'!C83</f>
        <v>per m3</v>
      </c>
      <c r="H4" s="613"/>
      <c r="I4" s="614"/>
      <c r="J4" s="26"/>
      <c r="K4" s="152" t="str">
        <f>'Used Language'!C84</f>
        <v>Currency</v>
      </c>
      <c r="L4" s="26"/>
      <c r="M4" s="557"/>
      <c r="N4" s="558"/>
      <c r="O4" s="559"/>
    </row>
    <row r="5" spans="2:16" ht="6" customHeight="1" thickBot="1">
      <c r="D5" s="51"/>
      <c r="E5" s="51"/>
      <c r="F5" s="51"/>
      <c r="H5" s="51"/>
      <c r="I5" s="51"/>
      <c r="J5" s="51"/>
      <c r="K5" s="51"/>
      <c r="L5" s="51"/>
      <c r="M5" s="560"/>
      <c r="N5" s="561"/>
      <c r="O5" s="562"/>
    </row>
    <row r="6" spans="2:16" ht="15" customHeight="1" thickTop="1">
      <c r="B6" s="548" t="str">
        <f>'Used Language'!C81</f>
        <v>Average Tariff</v>
      </c>
      <c r="C6" s="549"/>
      <c r="D6" s="549"/>
      <c r="E6" s="550"/>
      <c r="F6" s="51"/>
      <c r="G6" s="615"/>
      <c r="H6" s="616"/>
      <c r="I6" s="617"/>
      <c r="J6" s="75"/>
      <c r="K6" s="153"/>
      <c r="L6" s="143"/>
      <c r="M6" s="144"/>
      <c r="N6" s="618"/>
      <c r="O6" s="618"/>
      <c r="P6" s="144"/>
    </row>
    <row r="7" spans="2:16">
      <c r="D7" s="51"/>
      <c r="E7" s="51"/>
      <c r="F7" s="51"/>
      <c r="L7" s="144"/>
      <c r="M7" s="144"/>
      <c r="N7" s="618"/>
      <c r="O7" s="618"/>
      <c r="P7" s="144"/>
    </row>
    <row r="8" spans="2:16" ht="36" customHeight="1">
      <c r="B8" s="548" t="str">
        <f>'Used Language'!C82</f>
        <v>Variable Production and Distribution Cost
(Marginal Cost of Water)</v>
      </c>
      <c r="C8" s="549"/>
      <c r="D8" s="549"/>
      <c r="E8" s="550"/>
      <c r="F8" s="51"/>
      <c r="G8" s="615"/>
      <c r="H8" s="616"/>
      <c r="I8" s="617"/>
      <c r="J8" s="75"/>
      <c r="K8" s="152" t="str">
        <f>IF($K$6=0," ",$K$6)</f>
        <v xml:space="preserve"> </v>
      </c>
      <c r="L8" s="143"/>
      <c r="M8" s="144"/>
      <c r="N8" s="618"/>
      <c r="O8" s="618"/>
      <c r="P8" s="144"/>
    </row>
    <row r="9" spans="2:16">
      <c r="D9" s="51"/>
      <c r="E9" s="51"/>
      <c r="F9" s="51"/>
      <c r="H9" s="51"/>
      <c r="I9" s="51"/>
      <c r="J9" s="51"/>
      <c r="K9" s="51"/>
      <c r="L9" s="144"/>
      <c r="M9" s="144"/>
      <c r="N9" s="618"/>
      <c r="O9" s="618"/>
      <c r="P9" s="144"/>
    </row>
    <row r="10" spans="2:16" ht="12.75" customHeight="1">
      <c r="B10" s="145"/>
      <c r="C10" s="145"/>
      <c r="D10" s="145"/>
      <c r="E10" s="145"/>
      <c r="F10" s="145"/>
      <c r="G10" s="145"/>
      <c r="H10" s="145"/>
      <c r="I10" s="145"/>
      <c r="J10" s="145"/>
      <c r="K10" s="145"/>
      <c r="L10" s="146"/>
      <c r="M10" s="144"/>
      <c r="N10" s="618"/>
      <c r="O10" s="618"/>
      <c r="P10" s="144"/>
    </row>
    <row r="11" spans="2:16" ht="30.75" customHeight="1">
      <c r="B11" s="548" t="str">
        <f>'Used Language'!C86</f>
        <v>NRW Component</v>
      </c>
      <c r="C11" s="549"/>
      <c r="D11" s="549"/>
      <c r="E11" s="550"/>
      <c r="F11" s="145"/>
      <c r="G11" s="612" t="str">
        <f>'Used Language'!C87</f>
        <v>Annual Value</v>
      </c>
      <c r="H11" s="613"/>
      <c r="I11" s="614"/>
      <c r="J11" s="111"/>
      <c r="K11" s="111"/>
      <c r="L11" s="148"/>
      <c r="M11" s="144"/>
      <c r="N11" s="618"/>
      <c r="O11" s="618"/>
      <c r="P11" s="149"/>
    </row>
    <row r="12" spans="2:16">
      <c r="D12" s="51"/>
      <c r="E12" s="51"/>
      <c r="F12" s="145"/>
      <c r="G12" s="51"/>
      <c r="H12" s="51"/>
      <c r="I12" s="51"/>
      <c r="J12" s="51"/>
      <c r="K12" s="51"/>
      <c r="L12" s="148"/>
      <c r="M12" s="144"/>
      <c r="N12" s="618"/>
      <c r="O12" s="618"/>
      <c r="P12" s="144"/>
    </row>
    <row r="13" spans="2:16" ht="15" customHeight="1">
      <c r="B13" s="548" t="str">
        <f>'Used Language'!C25</f>
        <v>Unbilled Metered Consumption</v>
      </c>
      <c r="C13" s="549"/>
      <c r="D13" s="549"/>
      <c r="E13" s="550"/>
      <c r="F13" s="145"/>
      <c r="G13" s="608">
        <f>'Water Balance m3year'!AC14*G6</f>
        <v>0</v>
      </c>
      <c r="H13" s="609"/>
      <c r="I13" s="610"/>
      <c r="J13" s="51"/>
      <c r="K13" s="152" t="str">
        <f>K8</f>
        <v xml:space="preserve"> </v>
      </c>
      <c r="L13" s="148"/>
      <c r="M13" s="144"/>
      <c r="N13" s="618"/>
      <c r="O13" s="618"/>
      <c r="P13" s="144"/>
    </row>
    <row r="14" spans="2:16">
      <c r="D14" s="51"/>
      <c r="E14" s="51"/>
      <c r="F14" s="145"/>
      <c r="G14" s="51"/>
      <c r="H14" s="51"/>
      <c r="I14" s="51"/>
      <c r="J14" s="51"/>
      <c r="K14" s="51"/>
      <c r="L14" s="148"/>
      <c r="M14" s="144"/>
      <c r="N14" s="618"/>
      <c r="O14" s="618"/>
      <c r="P14" s="144"/>
    </row>
    <row r="15" spans="2:16" ht="15" customHeight="1">
      <c r="B15" s="548" t="str">
        <f>'Used Language'!C26</f>
        <v>Unbilled Unmetered Consumption</v>
      </c>
      <c r="C15" s="549"/>
      <c r="D15" s="549"/>
      <c r="E15" s="550"/>
      <c r="F15" s="145"/>
      <c r="G15" s="608">
        <f>'Water Balance m3year'!AC19*G6</f>
        <v>0</v>
      </c>
      <c r="H15" s="609"/>
      <c r="I15" s="610"/>
      <c r="J15" s="51"/>
      <c r="K15" s="152" t="str">
        <f>K8</f>
        <v xml:space="preserve"> </v>
      </c>
      <c r="L15" s="148"/>
      <c r="M15" s="144"/>
      <c r="N15" s="618"/>
      <c r="O15" s="618"/>
      <c r="P15" s="144"/>
    </row>
    <row r="16" spans="2:16" ht="12.75" customHeight="1">
      <c r="D16" s="51"/>
      <c r="E16" s="51"/>
      <c r="F16" s="145"/>
      <c r="G16" s="51"/>
      <c r="H16" s="51"/>
      <c r="I16" s="51"/>
      <c r="J16" s="51"/>
      <c r="K16" s="51"/>
      <c r="L16" s="148"/>
      <c r="M16" s="144"/>
      <c r="N16" s="618"/>
      <c r="O16" s="618"/>
      <c r="P16" s="144"/>
    </row>
    <row r="17" spans="2:16" ht="15" customHeight="1">
      <c r="B17" s="548" t="str">
        <f>'Used Language'!C21</f>
        <v>Commercial Losses</v>
      </c>
      <c r="C17" s="549"/>
      <c r="D17" s="549"/>
      <c r="E17" s="550"/>
      <c r="F17" s="145"/>
      <c r="G17" s="608">
        <f>'Water Balance m3year'!T26*G6</f>
        <v>0</v>
      </c>
      <c r="H17" s="609"/>
      <c r="I17" s="610"/>
      <c r="J17" s="51"/>
      <c r="K17" s="152" t="str">
        <f>K8</f>
        <v xml:space="preserve"> </v>
      </c>
      <c r="L17" s="148"/>
      <c r="M17" s="144"/>
      <c r="N17" s="618"/>
      <c r="O17" s="618"/>
      <c r="P17" s="144"/>
    </row>
    <row r="18" spans="2:16" ht="15" customHeight="1">
      <c r="M18" s="144"/>
      <c r="N18" s="359"/>
      <c r="O18" s="359"/>
      <c r="P18" s="144"/>
    </row>
    <row r="19" spans="2:16" ht="15" customHeight="1">
      <c r="B19" s="611" t="str">
        <f>'Used Language'!C27</f>
        <v>Customer Meter Inaccuracies and Data Handling Errors</v>
      </c>
      <c r="C19" s="611"/>
      <c r="D19" s="360"/>
      <c r="E19" s="360"/>
      <c r="F19" s="145"/>
      <c r="G19" s="630">
        <f>'Water Balance m3year'!AC29*G6</f>
        <v>0</v>
      </c>
      <c r="H19" s="630"/>
      <c r="J19" s="51"/>
      <c r="K19" s="369" t="str">
        <f>K17</f>
        <v xml:space="preserve"> </v>
      </c>
      <c r="L19" s="148"/>
      <c r="M19" s="144"/>
      <c r="N19" s="359"/>
      <c r="O19" s="359"/>
      <c r="P19" s="144"/>
    </row>
    <row r="20" spans="2:16" ht="15" customHeight="1">
      <c r="B20" s="611" t="str">
        <f>'Used Language'!C13</f>
        <v>Unauthorized Consumption</v>
      </c>
      <c r="C20" s="611"/>
      <c r="D20" s="360"/>
      <c r="E20" s="360"/>
      <c r="F20" s="145"/>
      <c r="G20" s="630">
        <f>'Water Balance m3year'!AC24*G6</f>
        <v>0</v>
      </c>
      <c r="H20" s="630"/>
      <c r="J20" s="51"/>
      <c r="K20" s="369" t="str">
        <f>K17</f>
        <v xml:space="preserve"> </v>
      </c>
      <c r="L20" s="148"/>
      <c r="M20" s="144"/>
      <c r="N20" s="359"/>
      <c r="O20" s="359"/>
      <c r="P20" s="144"/>
    </row>
    <row r="21" spans="2:16">
      <c r="D21" s="51"/>
      <c r="E21" s="51"/>
      <c r="F21" s="145"/>
      <c r="G21" s="51"/>
      <c r="H21" s="51"/>
      <c r="I21" s="51"/>
      <c r="J21" s="51"/>
      <c r="K21" s="51"/>
      <c r="L21" s="148"/>
      <c r="M21" s="144"/>
      <c r="N21" s="618"/>
      <c r="O21" s="618"/>
      <c r="P21" s="144"/>
    </row>
    <row r="22" spans="2:16" ht="14.25" customHeight="1">
      <c r="B22" s="619" t="str">
        <f>'Used Language'!C22</f>
        <v>Physical Losses</v>
      </c>
      <c r="C22" s="620"/>
      <c r="D22" s="620"/>
      <c r="E22" s="161"/>
      <c r="F22" s="145"/>
      <c r="G22" s="608">
        <f>IF(Start!M21=366,((D24-D26)*G8+(D26*G6))*366,((D24-D26)*G8+(D26*G6))*365)</f>
        <v>0</v>
      </c>
      <c r="H22" s="609"/>
      <c r="I22" s="610"/>
      <c r="J22" s="51"/>
      <c r="K22" s="152" t="str">
        <f>K8</f>
        <v xml:space="preserve"> </v>
      </c>
      <c r="L22" s="148"/>
      <c r="M22" s="144"/>
      <c r="N22" s="618"/>
      <c r="O22" s="618"/>
      <c r="P22" s="144"/>
    </row>
    <row r="23" spans="2:16" ht="14.25" customHeight="1">
      <c r="B23" s="155"/>
      <c r="C23" s="154"/>
      <c r="D23" s="154"/>
      <c r="E23" s="156"/>
      <c r="F23" s="145"/>
      <c r="G23" s="145"/>
      <c r="H23" s="145"/>
      <c r="I23" s="145"/>
      <c r="J23" s="145"/>
      <c r="K23" s="145"/>
      <c r="L23" s="145"/>
      <c r="M23" s="145"/>
      <c r="N23" s="150"/>
      <c r="O23" s="150"/>
      <c r="P23" s="144"/>
    </row>
    <row r="24" spans="2:16" ht="14.25" customHeight="1">
      <c r="B24" s="155" t="str">
        <f>'Used Language'!C194</f>
        <v>Total Volume (m3/d)</v>
      </c>
      <c r="C24" s="154"/>
      <c r="D24" s="163">
        <f>'Water Balance m3day'!T34</f>
        <v>0</v>
      </c>
      <c r="E24" s="157"/>
      <c r="F24" s="145"/>
      <c r="G24" s="145"/>
      <c r="H24" s="145"/>
      <c r="I24" s="145"/>
      <c r="J24" s="145"/>
      <c r="K24" s="145"/>
      <c r="L24" s="145"/>
      <c r="M24" s="145"/>
      <c r="N24" s="150"/>
      <c r="O24" s="150"/>
      <c r="P24" s="144"/>
    </row>
    <row r="25" spans="2:16" ht="6" customHeight="1">
      <c r="B25" s="155"/>
      <c r="C25" s="154"/>
      <c r="D25" s="154"/>
      <c r="E25" s="156"/>
      <c r="F25" s="145"/>
      <c r="G25" s="145"/>
      <c r="H25" s="145"/>
      <c r="I25" s="145"/>
      <c r="J25" s="145"/>
      <c r="K25" s="145"/>
      <c r="L25" s="145"/>
      <c r="M25" s="145"/>
      <c r="N25" s="150"/>
      <c r="O25" s="150"/>
      <c r="P25" s="144"/>
    </row>
    <row r="26" spans="2:16" ht="14.25" customHeight="1">
      <c r="B26" s="595" t="str">
        <f>'Used Language'!C195</f>
        <v>Volume which could be sold to existing or new customers (m3/d)</v>
      </c>
      <c r="C26" s="596"/>
      <c r="D26" s="607"/>
      <c r="E26" s="162"/>
      <c r="F26" s="145"/>
      <c r="G26" s="145"/>
      <c r="H26" s="145"/>
      <c r="I26" s="145"/>
      <c r="J26" s="145"/>
      <c r="K26" s="145"/>
      <c r="L26" s="145"/>
      <c r="M26" s="145"/>
      <c r="N26" s="150"/>
      <c r="O26" s="150"/>
      <c r="P26" s="144"/>
    </row>
    <row r="27" spans="2:16" ht="14.25" customHeight="1">
      <c r="B27" s="595"/>
      <c r="C27" s="596"/>
      <c r="D27" s="607"/>
      <c r="E27" s="162"/>
      <c r="F27" s="145"/>
      <c r="G27" s="145"/>
      <c r="H27" s="145"/>
      <c r="I27" s="145"/>
      <c r="J27" s="145"/>
      <c r="K27" s="145"/>
      <c r="L27" s="145"/>
      <c r="M27" s="145"/>
      <c r="N27" s="150"/>
      <c r="O27" s="150"/>
      <c r="P27" s="144"/>
    </row>
    <row r="28" spans="2:16" ht="14.25" customHeight="1">
      <c r="B28" s="595"/>
      <c r="C28" s="596"/>
      <c r="D28" s="607"/>
      <c r="E28" s="162"/>
      <c r="F28" s="145"/>
      <c r="G28" s="145"/>
      <c r="H28" s="145"/>
      <c r="I28" s="145"/>
      <c r="J28" s="145"/>
      <c r="K28" s="145"/>
      <c r="L28" s="145"/>
      <c r="M28" s="145"/>
      <c r="N28" s="150"/>
      <c r="O28" s="150"/>
      <c r="P28" s="144"/>
    </row>
    <row r="29" spans="2:16" ht="14.25" customHeight="1">
      <c r="B29" s="158"/>
      <c r="C29" s="159"/>
      <c r="D29" s="159"/>
      <c r="E29" s="160"/>
      <c r="F29" s="145"/>
      <c r="G29" s="145"/>
      <c r="H29" s="145"/>
      <c r="I29" s="145"/>
      <c r="J29" s="145"/>
      <c r="K29" s="145"/>
      <c r="L29" s="145"/>
      <c r="M29" s="145"/>
      <c r="N29" s="150"/>
      <c r="O29" s="150"/>
      <c r="P29" s="144"/>
    </row>
    <row r="30" spans="2:16" ht="6" customHeight="1">
      <c r="D30" s="51"/>
      <c r="E30" s="51"/>
      <c r="F30" s="145"/>
      <c r="G30" s="51"/>
      <c r="H30" s="51"/>
      <c r="I30" s="51"/>
      <c r="J30" s="51"/>
      <c r="K30" s="51"/>
      <c r="L30" s="148"/>
      <c r="M30" s="144"/>
      <c r="N30" s="144"/>
      <c r="O30" s="144"/>
      <c r="P30" s="144"/>
    </row>
    <row r="31" spans="2:16" ht="12.75" customHeight="1">
      <c r="B31" s="592" t="str">
        <f>'Used Language'!C88</f>
        <v>Total Value of NRW</v>
      </c>
      <c r="C31" s="593"/>
      <c r="D31" s="593"/>
      <c r="E31" s="594"/>
      <c r="F31" s="145"/>
      <c r="G31" s="621">
        <f>IF(OR(G13="ERROR",G15="ERROR",G17="ERROR",G22="ERROR"),0,G13+G15+G17+G22)</f>
        <v>0</v>
      </c>
      <c r="H31" s="622"/>
      <c r="I31" s="623"/>
      <c r="J31" s="51"/>
      <c r="K31" s="592" t="str">
        <f>K8</f>
        <v xml:space="preserve"> </v>
      </c>
      <c r="L31" s="148"/>
      <c r="M31" s="144"/>
      <c r="N31" s="618"/>
      <c r="O31" s="618"/>
      <c r="P31" s="144"/>
    </row>
    <row r="32" spans="2:16" ht="6" customHeight="1">
      <c r="B32" s="595"/>
      <c r="C32" s="596"/>
      <c r="D32" s="596"/>
      <c r="E32" s="597"/>
      <c r="F32" s="145"/>
      <c r="G32" s="624"/>
      <c r="H32" s="625"/>
      <c r="I32" s="626"/>
      <c r="J32" s="51"/>
      <c r="K32" s="595"/>
      <c r="L32" s="148"/>
      <c r="M32" s="144"/>
      <c r="N32" s="144"/>
      <c r="O32" s="144"/>
      <c r="P32" s="144"/>
    </row>
    <row r="33" spans="2:16" ht="12.75" customHeight="1">
      <c r="B33" s="598"/>
      <c r="C33" s="599"/>
      <c r="D33" s="599"/>
      <c r="E33" s="600"/>
      <c r="F33" s="51"/>
      <c r="G33" s="627"/>
      <c r="H33" s="628"/>
      <c r="I33" s="629"/>
      <c r="J33" s="51"/>
      <c r="K33" s="598"/>
      <c r="L33" s="148"/>
      <c r="M33" s="144"/>
      <c r="N33" s="144"/>
      <c r="O33" s="144"/>
      <c r="P33" s="144"/>
    </row>
    <row r="34" spans="2:16">
      <c r="D34" s="51"/>
      <c r="E34" s="51"/>
      <c r="F34" s="51"/>
      <c r="G34" s="51"/>
      <c r="H34" s="51"/>
      <c r="I34" s="51"/>
      <c r="J34" s="51"/>
      <c r="K34" s="51"/>
      <c r="L34" s="148"/>
      <c r="M34" s="144"/>
      <c r="N34" s="144"/>
      <c r="O34" s="144"/>
      <c r="P34" s="144"/>
    </row>
    <row r="35" spans="2:16" ht="6" customHeight="1">
      <c r="B35" s="592" t="str">
        <f>'Used Language'!C89</f>
        <v>Annual Operating Cost (without Depreciation)</v>
      </c>
      <c r="C35" s="593"/>
      <c r="D35" s="593"/>
      <c r="E35" s="594"/>
      <c r="F35" s="51"/>
      <c r="G35" s="601"/>
      <c r="H35" s="602"/>
      <c r="I35" s="603"/>
      <c r="J35" s="51"/>
      <c r="K35" s="590" t="str">
        <f t="shared" ref="K35" si="0">IF($K$6=0," ",$K$6)</f>
        <v xml:space="preserve"> </v>
      </c>
      <c r="L35" s="144"/>
      <c r="M35" s="144"/>
      <c r="N35" s="144"/>
      <c r="O35" s="144"/>
      <c r="P35" s="144"/>
    </row>
    <row r="36" spans="2:16" ht="27.75" customHeight="1">
      <c r="B36" s="595"/>
      <c r="C36" s="596"/>
      <c r="D36" s="596"/>
      <c r="E36" s="597"/>
      <c r="F36" s="51"/>
      <c r="G36" s="604"/>
      <c r="H36" s="605"/>
      <c r="I36" s="606"/>
      <c r="J36" s="51"/>
      <c r="K36" s="591"/>
      <c r="L36" s="144"/>
      <c r="M36" s="144"/>
      <c r="N36" s="144"/>
      <c r="O36" s="144"/>
      <c r="P36" s="144"/>
    </row>
    <row r="37" spans="2:16" ht="6" customHeight="1">
      <c r="D37" s="51"/>
      <c r="E37" s="51"/>
      <c r="F37" s="51"/>
      <c r="I37" s="51"/>
      <c r="J37" s="51"/>
      <c r="K37" s="51"/>
      <c r="L37" s="144"/>
      <c r="M37" s="144"/>
      <c r="N37" s="144"/>
      <c r="O37" s="144"/>
      <c r="P37" s="144"/>
    </row>
    <row r="40" spans="2:16">
      <c r="B40" s="151"/>
      <c r="C40" s="151"/>
      <c r="D40" s="151"/>
      <c r="E40" s="151"/>
    </row>
  </sheetData>
  <sheetProtection algorithmName="SHA-512" hashValue="rHWNYX97xe1Pfj9NSddsM6opVASUoZYps4USSQTRjgUAUTvv8JRJBJcJ8bx+z3WixhEBf7gMzs4CVpCtU/47Eg==" saltValue="Ytp2T3ysBcrtcPkNAsA7pg==" spinCount="100000" sheet="1" objects="1" scenarios="1"/>
  <mergeCells count="44">
    <mergeCell ref="N31:O31"/>
    <mergeCell ref="G31:I33"/>
    <mergeCell ref="N13:O13"/>
    <mergeCell ref="N11:O11"/>
    <mergeCell ref="N14:O14"/>
    <mergeCell ref="G13:I13"/>
    <mergeCell ref="G15:I15"/>
    <mergeCell ref="N17:O17"/>
    <mergeCell ref="G19:H19"/>
    <mergeCell ref="G20:H20"/>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B13:E13"/>
    <mergeCell ref="B11:E11"/>
    <mergeCell ref="B8:E8"/>
    <mergeCell ref="G4:I4"/>
    <mergeCell ref="G6:I6"/>
    <mergeCell ref="G8:I8"/>
    <mergeCell ref="B6:E6"/>
    <mergeCell ref="K35:K36"/>
    <mergeCell ref="B31:E33"/>
    <mergeCell ref="B35:E36"/>
    <mergeCell ref="G35:I36"/>
    <mergeCell ref="B17:E17"/>
    <mergeCell ref="D26:D28"/>
    <mergeCell ref="K31:K33"/>
    <mergeCell ref="G22:I22"/>
    <mergeCell ref="B26:C28"/>
    <mergeCell ref="B19:C19"/>
    <mergeCell ref="B20:C20"/>
  </mergeCells>
  <phoneticPr fontId="7" type="noConversion"/>
  <hyperlinks>
    <hyperlink ref="M2:M5" location="Start!A1" display="Start!A1"/>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5"/>
  <dimension ref="B1:BV37"/>
  <sheetViews>
    <sheetView zoomScale="90" zoomScaleNormal="90" workbookViewId="0">
      <selection activeCell="B1" sqref="B1:BG1"/>
    </sheetView>
  </sheetViews>
  <sheetFormatPr baseColWidth="10" defaultColWidth="2.453125" defaultRowHeight="14.5"/>
  <cols>
    <col min="1" max="1" width="1.1796875" style="219" customWidth="1"/>
    <col min="2" max="2" width="1.453125" style="219" customWidth="1"/>
    <col min="3" max="6" width="2.81640625" style="219" customWidth="1"/>
    <col min="7" max="8" width="4" style="219" customWidth="1"/>
    <col min="9" max="9" width="0.7265625" style="219" customWidth="1"/>
    <col min="10" max="10" width="1.453125" style="219" customWidth="1"/>
    <col min="11" max="15" width="2.81640625" style="219" customWidth="1"/>
    <col min="16" max="17" width="3.26953125" style="219" customWidth="1"/>
    <col min="18" max="18" width="0.7265625" style="219" customWidth="1"/>
    <col min="19" max="24" width="2.453125" style="219" customWidth="1"/>
    <col min="25" max="26" width="3.54296875" style="219" customWidth="1"/>
    <col min="27" max="27" width="0.7265625" style="219" customWidth="1"/>
    <col min="28" max="28" width="2.453125" style="219" customWidth="1"/>
    <col min="29" max="50" width="1.7265625" style="219" customWidth="1"/>
    <col min="51" max="55" width="2.453125" style="219" customWidth="1"/>
    <col min="56" max="57" width="3.453125" style="219" customWidth="1"/>
    <col min="58" max="58" width="2.453125" style="219" customWidth="1"/>
    <col min="59" max="59" width="0.7265625" style="219" customWidth="1"/>
    <col min="60" max="60" width="1.1796875" style="219" customWidth="1"/>
    <col min="61" max="61" width="2.453125" style="219" hidden="1" customWidth="1"/>
    <col min="62" max="62" width="14.1796875" style="220" hidden="1" customWidth="1"/>
    <col min="63" max="63" width="16.7265625" style="221" hidden="1" customWidth="1"/>
    <col min="64" max="64" width="14.1796875" style="220" hidden="1" customWidth="1"/>
    <col min="65" max="65" width="18.81640625" style="221" hidden="1" customWidth="1"/>
    <col min="66" max="66" width="14.1796875" style="220" hidden="1" customWidth="1"/>
    <col min="67" max="167" width="14.1796875" style="219" customWidth="1"/>
    <col min="168" max="16384" width="2.453125" style="219"/>
  </cols>
  <sheetData>
    <row r="1" spans="2:74" ht="24" customHeight="1" thickBot="1">
      <c r="B1" s="711" t="str">
        <f>'Used Language'!C153</f>
        <v>Water Balance in m3/day</v>
      </c>
      <c r="C1" s="711"/>
      <c r="D1" s="711"/>
      <c r="E1" s="711"/>
      <c r="F1" s="711"/>
      <c r="G1" s="711"/>
      <c r="H1" s="711"/>
      <c r="I1" s="711"/>
      <c r="J1" s="711"/>
      <c r="K1" s="711"/>
      <c r="L1" s="711"/>
      <c r="M1" s="711"/>
      <c r="N1" s="711"/>
      <c r="O1" s="711"/>
      <c r="P1" s="711"/>
      <c r="Q1" s="711"/>
      <c r="R1" s="711"/>
      <c r="S1" s="711"/>
      <c r="T1" s="711"/>
      <c r="U1" s="711"/>
      <c r="V1" s="711"/>
      <c r="W1" s="711"/>
      <c r="X1" s="711"/>
      <c r="Y1" s="711"/>
      <c r="Z1" s="711"/>
      <c r="AA1" s="711"/>
      <c r="AB1" s="711"/>
      <c r="AC1" s="711"/>
      <c r="AD1" s="711"/>
      <c r="AE1" s="711"/>
      <c r="AF1" s="711"/>
      <c r="AG1" s="711"/>
      <c r="AH1" s="711"/>
      <c r="AI1" s="711"/>
      <c r="AJ1" s="711"/>
      <c r="AK1" s="711"/>
      <c r="AL1" s="711"/>
      <c r="AM1" s="711"/>
      <c r="AN1" s="711"/>
      <c r="AO1" s="711"/>
      <c r="AP1" s="711"/>
      <c r="AQ1" s="711"/>
      <c r="AR1" s="711"/>
      <c r="AS1" s="711"/>
      <c r="AT1" s="711"/>
      <c r="AU1" s="711"/>
      <c r="AV1" s="711"/>
      <c r="AW1" s="711"/>
      <c r="AX1" s="711"/>
      <c r="AY1" s="711"/>
      <c r="AZ1" s="711"/>
      <c r="BA1" s="711"/>
      <c r="BB1" s="711"/>
      <c r="BC1" s="711"/>
      <c r="BD1" s="711"/>
      <c r="BE1" s="711"/>
      <c r="BF1" s="711"/>
      <c r="BG1" s="711"/>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54" t="str">
        <f>'Used Language'!C128</f>
        <v>Home</v>
      </c>
      <c r="BP2" s="555"/>
    </row>
    <row r="3" spans="2:74" ht="13.5" customHeight="1">
      <c r="B3" s="228"/>
      <c r="C3" s="190"/>
      <c r="D3" s="190"/>
      <c r="E3" s="190"/>
      <c r="F3" s="190"/>
      <c r="G3" s="190"/>
      <c r="H3" s="190"/>
      <c r="I3" s="190"/>
      <c r="J3" s="191"/>
      <c r="K3" s="189"/>
      <c r="L3" s="190"/>
      <c r="M3" s="190"/>
      <c r="N3" s="190"/>
      <c r="O3" s="190"/>
      <c r="P3" s="190"/>
      <c r="Q3" s="190"/>
      <c r="R3" s="190"/>
      <c r="S3" s="191"/>
      <c r="T3" s="650" t="str">
        <f>'Used Language'!$C$19</f>
        <v>Billed Authorized Consumption</v>
      </c>
      <c r="U3" s="651"/>
      <c r="V3" s="651"/>
      <c r="W3" s="651"/>
      <c r="X3" s="651"/>
      <c r="Y3" s="651"/>
      <c r="Z3" s="651"/>
      <c r="AA3" s="651"/>
      <c r="AB3" s="652"/>
      <c r="AC3" s="646" t="str">
        <f>'Used Language'!$C$23</f>
        <v>Billed Metered Consumption</v>
      </c>
      <c r="AD3" s="647"/>
      <c r="AE3" s="647"/>
      <c r="AF3" s="647"/>
      <c r="AG3" s="647"/>
      <c r="AH3" s="647"/>
      <c r="AI3" s="647"/>
      <c r="AJ3" s="647"/>
      <c r="AK3" s="647"/>
      <c r="AL3" s="647"/>
      <c r="AM3" s="647"/>
      <c r="AN3" s="647"/>
      <c r="AO3" s="647"/>
      <c r="AP3" s="647"/>
      <c r="AQ3" s="647"/>
      <c r="AR3" s="647"/>
      <c r="AS3" s="647"/>
      <c r="AT3" s="647"/>
      <c r="AU3" s="647"/>
      <c r="AV3" s="647"/>
      <c r="AW3" s="647"/>
      <c r="AX3" s="648"/>
      <c r="AY3" s="650" t="str">
        <f>'Used Language'!$C$28</f>
        <v>Revenue Water</v>
      </c>
      <c r="AZ3" s="651"/>
      <c r="BA3" s="651"/>
      <c r="BB3" s="651"/>
      <c r="BC3" s="651"/>
      <c r="BD3" s="651"/>
      <c r="BE3" s="651"/>
      <c r="BF3" s="651"/>
      <c r="BG3" s="653"/>
      <c r="BO3" s="557"/>
      <c r="BP3" s="558"/>
    </row>
    <row r="4" spans="2:74" ht="13.5" customHeight="1" thickBot="1">
      <c r="B4" s="228"/>
      <c r="C4" s="190"/>
      <c r="D4" s="190"/>
      <c r="E4" s="190"/>
      <c r="F4" s="190"/>
      <c r="G4" s="190"/>
      <c r="H4" s="190"/>
      <c r="I4" s="190"/>
      <c r="J4" s="191"/>
      <c r="K4" s="189"/>
      <c r="L4" s="190"/>
      <c r="M4" s="190"/>
      <c r="N4" s="190"/>
      <c r="O4" s="190"/>
      <c r="P4" s="190"/>
      <c r="Q4" s="190"/>
      <c r="R4" s="190"/>
      <c r="S4" s="191"/>
      <c r="T4" s="650"/>
      <c r="U4" s="651"/>
      <c r="V4" s="651"/>
      <c r="W4" s="651"/>
      <c r="X4" s="651"/>
      <c r="Y4" s="651"/>
      <c r="Z4" s="651"/>
      <c r="AA4" s="651"/>
      <c r="AB4" s="652"/>
      <c r="AC4" s="642">
        <f>IF(Start!M21&gt;0,'Billed Cons'!D28/Start!M21,0)</f>
        <v>0</v>
      </c>
      <c r="AD4" s="643"/>
      <c r="AE4" s="643"/>
      <c r="AF4" s="643"/>
      <c r="AG4" s="643"/>
      <c r="AH4" s="643"/>
      <c r="AI4" s="643"/>
      <c r="AJ4" s="643"/>
      <c r="AK4" s="643"/>
      <c r="AL4" s="643"/>
      <c r="AM4" s="643"/>
      <c r="AN4" s="643"/>
      <c r="AO4" s="644" t="str">
        <f>'Used Language'!$C$31</f>
        <v>m3/day</v>
      </c>
      <c r="AP4" s="644"/>
      <c r="AQ4" s="644"/>
      <c r="AR4" s="644"/>
      <c r="AS4" s="644"/>
      <c r="AT4" s="644"/>
      <c r="AU4" s="644"/>
      <c r="AV4" s="644"/>
      <c r="AW4" s="644"/>
      <c r="AX4" s="645"/>
      <c r="AY4" s="650"/>
      <c r="AZ4" s="651"/>
      <c r="BA4" s="651"/>
      <c r="BB4" s="651"/>
      <c r="BC4" s="651"/>
      <c r="BD4" s="651"/>
      <c r="BE4" s="651"/>
      <c r="BF4" s="651"/>
      <c r="BG4" s="653"/>
      <c r="BO4" s="557"/>
      <c r="BP4" s="558"/>
    </row>
    <row r="5" spans="2:74" ht="13.5" customHeight="1" thickTop="1">
      <c r="B5" s="228"/>
      <c r="C5" s="190"/>
      <c r="D5" s="190"/>
      <c r="E5" s="190"/>
      <c r="F5" s="190"/>
      <c r="G5" s="190"/>
      <c r="H5" s="190"/>
      <c r="I5" s="190"/>
      <c r="J5" s="191"/>
      <c r="K5" s="189"/>
      <c r="L5" s="190"/>
      <c r="M5" s="190"/>
      <c r="N5" s="190"/>
      <c r="O5" s="190"/>
      <c r="P5" s="190"/>
      <c r="Q5" s="190"/>
      <c r="R5" s="190"/>
      <c r="S5" s="191"/>
      <c r="T5" s="650"/>
      <c r="U5" s="651"/>
      <c r="V5" s="651"/>
      <c r="W5" s="651"/>
      <c r="X5" s="651"/>
      <c r="Y5" s="651"/>
      <c r="Z5" s="651"/>
      <c r="AA5" s="651"/>
      <c r="AB5" s="652"/>
      <c r="AC5" s="236"/>
      <c r="AD5" s="237"/>
      <c r="AE5" s="237"/>
      <c r="AF5" s="237"/>
      <c r="AG5" s="237"/>
      <c r="AH5" s="237"/>
      <c r="AI5" s="237"/>
      <c r="AJ5" s="237"/>
      <c r="AK5" s="237"/>
      <c r="AL5" s="237"/>
      <c r="AM5" s="237"/>
      <c r="AN5" s="237"/>
      <c r="AO5" s="238"/>
      <c r="AP5" s="238"/>
      <c r="AQ5" s="238"/>
      <c r="AR5" s="238"/>
      <c r="AS5" s="238"/>
      <c r="AT5" s="238"/>
      <c r="AU5" s="238"/>
      <c r="AV5" s="238"/>
      <c r="AW5" s="238"/>
      <c r="AX5" s="239"/>
      <c r="AY5" s="650"/>
      <c r="AZ5" s="651"/>
      <c r="BA5" s="651"/>
      <c r="BB5" s="651"/>
      <c r="BC5" s="651"/>
      <c r="BD5" s="651"/>
      <c r="BE5" s="651"/>
      <c r="BF5" s="651"/>
      <c r="BG5" s="653"/>
      <c r="BN5" s="631" t="str">
        <f>'Used Language'!C128</f>
        <v>Home</v>
      </c>
      <c r="BO5" s="632"/>
      <c r="BP5" s="632"/>
      <c r="BQ5" s="633"/>
      <c r="BR5" s="633"/>
      <c r="BS5" s="633"/>
      <c r="BT5" s="633"/>
      <c r="BU5" s="633"/>
      <c r="BV5" s="634"/>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638"/>
      <c r="AD6" s="639"/>
      <c r="AE6" s="639"/>
      <c r="AF6" s="639"/>
      <c r="AG6" s="639"/>
      <c r="AH6" s="639"/>
      <c r="AI6" s="639"/>
      <c r="AJ6" s="639"/>
      <c r="AK6" s="639"/>
      <c r="AL6" s="639"/>
      <c r="AM6" s="639"/>
      <c r="AN6" s="639"/>
      <c r="AO6" s="640"/>
      <c r="AP6" s="640"/>
      <c r="AQ6" s="640"/>
      <c r="AR6" s="640"/>
      <c r="AS6" s="640"/>
      <c r="AT6" s="640"/>
      <c r="AU6" s="640"/>
      <c r="AV6" s="640"/>
      <c r="AW6" s="640"/>
      <c r="AX6" s="641"/>
      <c r="AY6" s="189"/>
      <c r="AZ6" s="190"/>
      <c r="BA6" s="190"/>
      <c r="BB6" s="190"/>
      <c r="BC6" s="190"/>
      <c r="BD6" s="190"/>
      <c r="BE6" s="190"/>
      <c r="BF6" s="190"/>
      <c r="BG6" s="240"/>
      <c r="BN6" s="635"/>
      <c r="BO6" s="636"/>
      <c r="BP6" s="636"/>
      <c r="BQ6" s="636"/>
      <c r="BR6" s="636"/>
      <c r="BS6" s="636"/>
      <c r="BT6" s="636"/>
      <c r="BU6" s="636"/>
      <c r="BV6" s="637"/>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642">
        <f>AC4+AC9</f>
        <v>0</v>
      </c>
      <c r="U8" s="643"/>
      <c r="V8" s="643"/>
      <c r="W8" s="643"/>
      <c r="X8" s="643"/>
      <c r="Y8" s="644" t="str">
        <f>'Used Language'!$C$31</f>
        <v>m3/day</v>
      </c>
      <c r="Z8" s="644"/>
      <c r="AA8" s="644"/>
      <c r="AB8" s="645"/>
      <c r="AC8" s="646" t="str">
        <f>'Used Language'!$C$24</f>
        <v>Billed Unmetered Consumption</v>
      </c>
      <c r="AD8" s="647"/>
      <c r="AE8" s="647"/>
      <c r="AF8" s="647"/>
      <c r="AG8" s="647"/>
      <c r="AH8" s="647"/>
      <c r="AI8" s="647"/>
      <c r="AJ8" s="647"/>
      <c r="AK8" s="647"/>
      <c r="AL8" s="647"/>
      <c r="AM8" s="647"/>
      <c r="AN8" s="647"/>
      <c r="AO8" s="647"/>
      <c r="AP8" s="647"/>
      <c r="AQ8" s="647"/>
      <c r="AR8" s="647"/>
      <c r="AS8" s="647"/>
      <c r="AT8" s="647"/>
      <c r="AU8" s="647"/>
      <c r="AV8" s="647"/>
      <c r="AW8" s="647"/>
      <c r="AX8" s="648"/>
      <c r="AY8" s="642">
        <f>T8</f>
        <v>0</v>
      </c>
      <c r="AZ8" s="643"/>
      <c r="BA8" s="643"/>
      <c r="BB8" s="643"/>
      <c r="BC8" s="643"/>
      <c r="BD8" s="644" t="str">
        <f>'Used Language'!$C$31</f>
        <v>m3/day</v>
      </c>
      <c r="BE8" s="644"/>
      <c r="BF8" s="644"/>
      <c r="BG8" s="649"/>
    </row>
    <row r="9" spans="2:74" ht="13.5" customHeight="1">
      <c r="B9" s="228"/>
      <c r="C9" s="190"/>
      <c r="D9" s="190"/>
      <c r="E9" s="190"/>
      <c r="F9" s="190"/>
      <c r="G9" s="190"/>
      <c r="H9" s="190"/>
      <c r="I9" s="190"/>
      <c r="J9" s="191"/>
      <c r="K9" s="654" t="str">
        <f>'Used Language'!$C$17</f>
        <v>Authorized Consumption</v>
      </c>
      <c r="L9" s="655"/>
      <c r="M9" s="655"/>
      <c r="N9" s="655"/>
      <c r="O9" s="655"/>
      <c r="P9" s="655"/>
      <c r="Q9" s="655"/>
      <c r="R9" s="655"/>
      <c r="S9" s="656"/>
      <c r="T9" s="657"/>
      <c r="U9" s="658"/>
      <c r="V9" s="658"/>
      <c r="W9" s="658"/>
      <c r="X9" s="658"/>
      <c r="Y9" s="658"/>
      <c r="Z9" s="658"/>
      <c r="AA9" s="658"/>
      <c r="AB9" s="659"/>
      <c r="AC9" s="642">
        <f>IF(Start!M21&gt;0,'Billed Cons'!H28/Start!M21,0)</f>
        <v>0</v>
      </c>
      <c r="AD9" s="643"/>
      <c r="AE9" s="643"/>
      <c r="AF9" s="643"/>
      <c r="AG9" s="643"/>
      <c r="AH9" s="643"/>
      <c r="AI9" s="643"/>
      <c r="AJ9" s="643"/>
      <c r="AK9" s="643"/>
      <c r="AL9" s="643"/>
      <c r="AM9" s="643"/>
      <c r="AN9" s="643"/>
      <c r="AO9" s="644" t="str">
        <f>'Used Language'!$C$31</f>
        <v>m3/day</v>
      </c>
      <c r="AP9" s="644"/>
      <c r="AQ9" s="644"/>
      <c r="AR9" s="644"/>
      <c r="AS9" s="644"/>
      <c r="AT9" s="644"/>
      <c r="AU9" s="644"/>
      <c r="AV9" s="644"/>
      <c r="AW9" s="644"/>
      <c r="AX9" s="645"/>
      <c r="AY9" s="189"/>
      <c r="AZ9" s="190"/>
      <c r="BA9" s="190"/>
      <c r="BB9" s="190"/>
      <c r="BC9" s="190"/>
      <c r="BD9" s="190"/>
      <c r="BE9" s="190"/>
      <c r="BF9" s="190"/>
      <c r="BG9" s="240"/>
    </row>
    <row r="10" spans="2:74" ht="13.5" customHeight="1">
      <c r="B10" s="228"/>
      <c r="C10" s="190"/>
      <c r="D10" s="190"/>
      <c r="E10" s="190"/>
      <c r="F10" s="190"/>
      <c r="G10" s="190"/>
      <c r="H10" s="190"/>
      <c r="I10" s="190"/>
      <c r="J10" s="191"/>
      <c r="K10" s="654"/>
      <c r="L10" s="655"/>
      <c r="M10" s="655"/>
      <c r="N10" s="655"/>
      <c r="O10" s="655"/>
      <c r="P10" s="655"/>
      <c r="Q10" s="655"/>
      <c r="R10" s="655"/>
      <c r="S10" s="656"/>
      <c r="T10" s="660"/>
      <c r="U10" s="661"/>
      <c r="V10" s="661"/>
      <c r="W10" s="661"/>
      <c r="X10" s="661"/>
      <c r="Y10" s="661"/>
      <c r="Z10" s="661"/>
      <c r="AA10" s="661"/>
      <c r="AB10" s="662"/>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54"/>
      <c r="L11" s="655"/>
      <c r="M11" s="655"/>
      <c r="N11" s="655"/>
      <c r="O11" s="655"/>
      <c r="P11" s="655"/>
      <c r="Q11" s="655"/>
      <c r="R11" s="655"/>
      <c r="S11" s="656"/>
      <c r="T11" s="192"/>
      <c r="U11" s="193"/>
      <c r="V11" s="193"/>
      <c r="W11" s="193"/>
      <c r="X11" s="193"/>
      <c r="Y11" s="193"/>
      <c r="Z11" s="193"/>
      <c r="AA11" s="193"/>
      <c r="AB11" s="194"/>
      <c r="AC11" s="638"/>
      <c r="AD11" s="639"/>
      <c r="AE11" s="639"/>
      <c r="AF11" s="639"/>
      <c r="AG11" s="639"/>
      <c r="AH11" s="639"/>
      <c r="AI11" s="639"/>
      <c r="AJ11" s="639"/>
      <c r="AK11" s="639"/>
      <c r="AL11" s="639"/>
      <c r="AM11" s="639"/>
      <c r="AN11" s="639"/>
      <c r="AO11" s="640"/>
      <c r="AP11" s="640"/>
      <c r="AQ11" s="640"/>
      <c r="AR11" s="640"/>
      <c r="AS11" s="640"/>
      <c r="AT11" s="640"/>
      <c r="AU11" s="640"/>
      <c r="AV11" s="640"/>
      <c r="AW11" s="640"/>
      <c r="AX11" s="641"/>
      <c r="AY11" s="192"/>
      <c r="AZ11" s="193"/>
      <c r="BA11" s="193"/>
      <c r="BB11" s="193"/>
      <c r="BC11" s="193"/>
      <c r="BD11" s="193"/>
      <c r="BE11" s="193"/>
      <c r="BF11" s="193"/>
      <c r="BG11" s="241"/>
    </row>
    <row r="12" spans="2:74" ht="6" customHeight="1">
      <c r="B12" s="228"/>
      <c r="C12" s="190"/>
      <c r="D12" s="190"/>
      <c r="E12" s="190"/>
      <c r="F12" s="190"/>
      <c r="G12" s="190"/>
      <c r="H12" s="190"/>
      <c r="I12" s="190"/>
      <c r="J12" s="191"/>
      <c r="K12" s="663">
        <f>T8+T16</f>
        <v>0</v>
      </c>
      <c r="L12" s="664"/>
      <c r="M12" s="664"/>
      <c r="N12" s="664"/>
      <c r="O12" s="664"/>
      <c r="P12" s="644" t="str">
        <f>'Used Language'!$C$31</f>
        <v>m3/day</v>
      </c>
      <c r="Q12" s="644"/>
      <c r="R12" s="644"/>
      <c r="S12" s="645"/>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63"/>
      <c r="L13" s="664"/>
      <c r="M13" s="664"/>
      <c r="N13" s="664"/>
      <c r="O13" s="664"/>
      <c r="P13" s="644"/>
      <c r="Q13" s="644"/>
      <c r="R13" s="644"/>
      <c r="S13" s="645"/>
      <c r="T13" s="665" t="str">
        <f>'Used Language'!$C$20</f>
        <v>Unbilled Authorized Consumption</v>
      </c>
      <c r="U13" s="666"/>
      <c r="V13" s="666"/>
      <c r="W13" s="666"/>
      <c r="X13" s="666"/>
      <c r="Y13" s="666"/>
      <c r="Z13" s="666"/>
      <c r="AA13" s="666"/>
      <c r="AB13" s="667"/>
      <c r="AC13" s="669" t="str">
        <f>'Used Language'!$C$25</f>
        <v>Unbilled Metered Consumption</v>
      </c>
      <c r="AD13" s="670"/>
      <c r="AE13" s="670"/>
      <c r="AF13" s="670"/>
      <c r="AG13" s="670"/>
      <c r="AH13" s="670"/>
      <c r="AI13" s="670"/>
      <c r="AJ13" s="670"/>
      <c r="AK13" s="670"/>
      <c r="AL13" s="670"/>
      <c r="AM13" s="670"/>
      <c r="AN13" s="670"/>
      <c r="AO13" s="670"/>
      <c r="AP13" s="670"/>
      <c r="AQ13" s="670"/>
      <c r="AR13" s="670"/>
      <c r="AS13" s="670"/>
      <c r="AT13" s="670"/>
      <c r="AU13" s="670"/>
      <c r="AV13" s="670"/>
      <c r="AW13" s="670"/>
      <c r="AX13" s="671"/>
      <c r="AY13" s="198"/>
      <c r="AZ13" s="199"/>
      <c r="BA13" s="199"/>
      <c r="BB13" s="199"/>
      <c r="BC13" s="199"/>
      <c r="BD13" s="199"/>
      <c r="BE13" s="199"/>
      <c r="BF13" s="199"/>
      <c r="BG13" s="209"/>
    </row>
    <row r="14" spans="2:74" ht="13.5" customHeight="1">
      <c r="B14" s="228"/>
      <c r="C14" s="190"/>
      <c r="D14" s="190"/>
      <c r="E14" s="190"/>
      <c r="F14" s="190"/>
      <c r="G14" s="190"/>
      <c r="H14" s="190"/>
      <c r="I14" s="190"/>
      <c r="J14" s="191"/>
      <c r="K14" s="672" t="str">
        <f>'Used Language'!$C$30</f>
        <v>Error Margin [+/-]:</v>
      </c>
      <c r="L14" s="673"/>
      <c r="M14" s="673"/>
      <c r="N14" s="673"/>
      <c r="O14" s="673"/>
      <c r="P14" s="673"/>
      <c r="Q14" s="673"/>
      <c r="R14" s="673"/>
      <c r="S14" s="674"/>
      <c r="T14" s="668"/>
      <c r="U14" s="666"/>
      <c r="V14" s="666"/>
      <c r="W14" s="666"/>
      <c r="X14" s="666"/>
      <c r="Y14" s="666"/>
      <c r="Z14" s="666"/>
      <c r="AA14" s="666"/>
      <c r="AB14" s="667"/>
      <c r="AC14" s="675">
        <f>IF(Start!M21&gt;0,'Unb. Cons.'!D32/Start!M21,0)</f>
        <v>0</v>
      </c>
      <c r="AD14" s="676"/>
      <c r="AE14" s="676"/>
      <c r="AF14" s="676"/>
      <c r="AG14" s="676"/>
      <c r="AH14" s="676"/>
      <c r="AI14" s="676"/>
      <c r="AJ14" s="676"/>
      <c r="AK14" s="676"/>
      <c r="AL14" s="676"/>
      <c r="AM14" s="676"/>
      <c r="AN14" s="676"/>
      <c r="AO14" s="677" t="str">
        <f>'Used Language'!$C$31</f>
        <v>m3/day</v>
      </c>
      <c r="AP14" s="677"/>
      <c r="AQ14" s="677"/>
      <c r="AR14" s="677"/>
      <c r="AS14" s="677"/>
      <c r="AT14" s="677"/>
      <c r="AU14" s="677"/>
      <c r="AV14" s="677"/>
      <c r="AW14" s="677"/>
      <c r="AX14" s="678"/>
      <c r="AY14" s="198"/>
      <c r="AZ14" s="199"/>
      <c r="BA14" s="199"/>
      <c r="BB14" s="199"/>
      <c r="BC14" s="199"/>
      <c r="BD14" s="199"/>
      <c r="BE14" s="199"/>
      <c r="BF14" s="199"/>
      <c r="BG14" s="209"/>
    </row>
    <row r="15" spans="2:74" ht="13.5" customHeight="1">
      <c r="B15" s="228"/>
      <c r="C15" s="190"/>
      <c r="D15" s="190"/>
      <c r="E15" s="190"/>
      <c r="F15" s="190"/>
      <c r="G15" s="190"/>
      <c r="H15" s="190"/>
      <c r="I15" s="190"/>
      <c r="J15" s="191"/>
      <c r="K15" s="660">
        <f>IF(K12=0,0,'Unb. Cons.'!O25/Start!M21*1.96/K12)</f>
        <v>0</v>
      </c>
      <c r="L15" s="661"/>
      <c r="M15" s="661"/>
      <c r="N15" s="661"/>
      <c r="O15" s="661"/>
      <c r="P15" s="661"/>
      <c r="Q15" s="661"/>
      <c r="R15" s="661"/>
      <c r="S15" s="662"/>
      <c r="T15" s="668"/>
      <c r="U15" s="666"/>
      <c r="V15" s="666"/>
      <c r="W15" s="666"/>
      <c r="X15" s="666"/>
      <c r="Y15" s="666"/>
      <c r="Z15" s="666"/>
      <c r="AA15" s="666"/>
      <c r="AB15" s="667"/>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75">
        <f>AC14+AC19</f>
        <v>0</v>
      </c>
      <c r="U16" s="676"/>
      <c r="V16" s="676"/>
      <c r="W16" s="676"/>
      <c r="X16" s="676"/>
      <c r="Y16" s="677" t="str">
        <f>'Used Language'!$C$31</f>
        <v>m3/day</v>
      </c>
      <c r="Z16" s="677"/>
      <c r="AA16" s="677"/>
      <c r="AB16" s="678"/>
      <c r="AC16" s="684"/>
      <c r="AD16" s="685"/>
      <c r="AE16" s="685"/>
      <c r="AF16" s="685"/>
      <c r="AG16" s="685"/>
      <c r="AH16" s="685"/>
      <c r="AI16" s="685"/>
      <c r="AJ16" s="685"/>
      <c r="AK16" s="685"/>
      <c r="AL16" s="685"/>
      <c r="AM16" s="685"/>
      <c r="AN16" s="685"/>
      <c r="AO16" s="686"/>
      <c r="AP16" s="686"/>
      <c r="AQ16" s="686"/>
      <c r="AR16" s="686"/>
      <c r="AS16" s="686"/>
      <c r="AT16" s="686"/>
      <c r="AU16" s="686"/>
      <c r="AV16" s="686"/>
      <c r="AW16" s="686"/>
      <c r="AX16" s="687"/>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75"/>
      <c r="U17" s="676"/>
      <c r="V17" s="676"/>
      <c r="W17" s="676"/>
      <c r="X17" s="676"/>
      <c r="Y17" s="677"/>
      <c r="Z17" s="677"/>
      <c r="AA17" s="677"/>
      <c r="AB17" s="678"/>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8" t="str">
        <f>'Used Language'!C16</f>
        <v>System Input Volume</v>
      </c>
      <c r="C18" s="651"/>
      <c r="D18" s="651"/>
      <c r="E18" s="651"/>
      <c r="F18" s="651"/>
      <c r="G18" s="651"/>
      <c r="H18" s="651"/>
      <c r="I18" s="651"/>
      <c r="J18" s="652"/>
      <c r="K18" s="189"/>
      <c r="L18" s="190"/>
      <c r="M18" s="190"/>
      <c r="N18" s="190"/>
      <c r="O18" s="190"/>
      <c r="P18" s="190"/>
      <c r="Q18" s="190"/>
      <c r="R18" s="190"/>
      <c r="S18" s="191"/>
      <c r="T18" s="689" t="str">
        <f>'Used Language'!$C$30</f>
        <v>Error Margin [+/-]:</v>
      </c>
      <c r="U18" s="690"/>
      <c r="V18" s="690"/>
      <c r="W18" s="690"/>
      <c r="X18" s="690"/>
      <c r="Y18" s="690"/>
      <c r="Z18" s="690"/>
      <c r="AA18" s="690"/>
      <c r="AB18" s="691"/>
      <c r="AC18" s="669" t="str">
        <f>'Used Language'!$C$26</f>
        <v>Unbilled Unmetered Consumption</v>
      </c>
      <c r="AD18" s="670"/>
      <c r="AE18" s="670"/>
      <c r="AF18" s="670"/>
      <c r="AG18" s="670"/>
      <c r="AH18" s="670"/>
      <c r="AI18" s="670"/>
      <c r="AJ18" s="670"/>
      <c r="AK18" s="670"/>
      <c r="AL18" s="670"/>
      <c r="AM18" s="670"/>
      <c r="AN18" s="670"/>
      <c r="AO18" s="670"/>
      <c r="AP18" s="670"/>
      <c r="AQ18" s="670"/>
      <c r="AR18" s="670"/>
      <c r="AS18" s="670"/>
      <c r="AT18" s="670"/>
      <c r="AU18" s="670"/>
      <c r="AV18" s="670"/>
      <c r="AW18" s="670"/>
      <c r="AX18" s="671"/>
      <c r="AY18" s="198"/>
      <c r="AZ18" s="199"/>
      <c r="BA18" s="199"/>
      <c r="BB18" s="199"/>
      <c r="BC18" s="199"/>
      <c r="BD18" s="199"/>
      <c r="BE18" s="199"/>
      <c r="BF18" s="199"/>
      <c r="BG18" s="209"/>
    </row>
    <row r="19" spans="2:65" ht="13.5" customHeight="1">
      <c r="B19" s="692">
        <f>IF(Start!M21&gt;0,'Sys. Input'!D79/Start!M21,0)</f>
        <v>0</v>
      </c>
      <c r="C19" s="643"/>
      <c r="D19" s="643"/>
      <c r="E19" s="643"/>
      <c r="F19" s="643"/>
      <c r="G19" s="644" t="str">
        <f>'Used Language'!$C$31</f>
        <v>m3/day</v>
      </c>
      <c r="H19" s="644"/>
      <c r="I19" s="644"/>
      <c r="J19" s="645"/>
      <c r="K19" s="189"/>
      <c r="L19" s="190"/>
      <c r="M19" s="190"/>
      <c r="N19" s="190"/>
      <c r="O19" s="190"/>
      <c r="P19" s="190"/>
      <c r="Q19" s="190"/>
      <c r="R19" s="190"/>
      <c r="S19" s="191"/>
      <c r="T19" s="689"/>
      <c r="U19" s="690"/>
      <c r="V19" s="690"/>
      <c r="W19" s="690"/>
      <c r="X19" s="690"/>
      <c r="Y19" s="690"/>
      <c r="Z19" s="690"/>
      <c r="AA19" s="690"/>
      <c r="AB19" s="691"/>
      <c r="AC19" s="675">
        <f>IF(Start!M21&gt;0,'Unb. Cons.'!H32/Start!M21,0)</f>
        <v>0</v>
      </c>
      <c r="AD19" s="676"/>
      <c r="AE19" s="676"/>
      <c r="AF19" s="676"/>
      <c r="AG19" s="676"/>
      <c r="AH19" s="676"/>
      <c r="AI19" s="676"/>
      <c r="AJ19" s="676"/>
      <c r="AK19" s="676"/>
      <c r="AL19" s="676"/>
      <c r="AM19" s="676"/>
      <c r="AN19" s="676"/>
      <c r="AO19" s="677" t="str">
        <f>'Used Language'!$C$31</f>
        <v>m3/day</v>
      </c>
      <c r="AP19" s="677"/>
      <c r="AQ19" s="677"/>
      <c r="AR19" s="677"/>
      <c r="AS19" s="677"/>
      <c r="AT19" s="677"/>
      <c r="AU19" s="677"/>
      <c r="AV19" s="677"/>
      <c r="AW19" s="677"/>
      <c r="AX19" s="678"/>
      <c r="AY19" s="198"/>
      <c r="AZ19" s="199"/>
      <c r="BA19" s="201"/>
      <c r="BB19" s="199"/>
      <c r="BC19" s="199"/>
      <c r="BD19" s="199"/>
      <c r="BE19" s="199"/>
      <c r="BF19" s="199"/>
      <c r="BG19" s="209"/>
    </row>
    <row r="20" spans="2:65" ht="13.5" customHeight="1">
      <c r="B20" s="693" t="str">
        <f>'Used Language'!$C$30</f>
        <v>Error Margin [+/-]:</v>
      </c>
      <c r="C20" s="673"/>
      <c r="D20" s="673"/>
      <c r="E20" s="673"/>
      <c r="F20" s="673"/>
      <c r="G20" s="673"/>
      <c r="H20" s="673"/>
      <c r="I20" s="673"/>
      <c r="J20" s="674"/>
      <c r="K20" s="189"/>
      <c r="L20" s="190"/>
      <c r="M20" s="190"/>
      <c r="N20" s="190"/>
      <c r="O20" s="190"/>
      <c r="P20" s="190"/>
      <c r="Q20" s="190"/>
      <c r="R20" s="190"/>
      <c r="S20" s="191"/>
      <c r="T20" s="694">
        <f>IF(T16=0,0,'Unb. Cons.'!O25/Start!M21*1.96/T16)</f>
        <v>0</v>
      </c>
      <c r="U20" s="695"/>
      <c r="V20" s="695"/>
      <c r="W20" s="695"/>
      <c r="X20" s="695"/>
      <c r="Y20" s="695"/>
      <c r="Z20" s="695"/>
      <c r="AA20" s="695"/>
      <c r="AB20" s="696"/>
      <c r="AC20" s="680" t="str">
        <f>'Used Language'!$C$30</f>
        <v>Error Margin [+/-]:</v>
      </c>
      <c r="AD20" s="681"/>
      <c r="AE20" s="681"/>
      <c r="AF20" s="681"/>
      <c r="AG20" s="681"/>
      <c r="AH20" s="681"/>
      <c r="AI20" s="681"/>
      <c r="AJ20" s="681"/>
      <c r="AK20" s="681"/>
      <c r="AL20" s="681"/>
      <c r="AM20" s="681"/>
      <c r="AN20" s="681"/>
      <c r="AO20" s="697">
        <f>'Unb. Cons.'!J25</f>
        <v>0</v>
      </c>
      <c r="AP20" s="697"/>
      <c r="AQ20" s="697"/>
      <c r="AR20" s="697"/>
      <c r="AS20" s="697"/>
      <c r="AT20" s="697"/>
      <c r="AU20" s="697"/>
      <c r="AV20" s="697"/>
      <c r="AW20" s="697"/>
      <c r="AX20" s="698"/>
      <c r="AY20" s="198"/>
      <c r="AZ20" s="199"/>
      <c r="BA20" s="199"/>
      <c r="BB20" s="199"/>
      <c r="BC20" s="199"/>
      <c r="BD20" s="199"/>
      <c r="BE20" s="199"/>
      <c r="BF20" s="199"/>
      <c r="BG20" s="209"/>
    </row>
    <row r="21" spans="2:65" ht="6" customHeight="1">
      <c r="B21" s="679">
        <f>'Sys. Input'!F72</f>
        <v>0</v>
      </c>
      <c r="C21" s="661"/>
      <c r="D21" s="661"/>
      <c r="E21" s="661"/>
      <c r="F21" s="661"/>
      <c r="G21" s="661"/>
      <c r="H21" s="661"/>
      <c r="I21" s="661"/>
      <c r="J21" s="662"/>
      <c r="K21" s="192"/>
      <c r="L21" s="193"/>
      <c r="M21" s="193"/>
      <c r="N21" s="193"/>
      <c r="O21" s="193"/>
      <c r="P21" s="193"/>
      <c r="Q21" s="193"/>
      <c r="R21" s="193"/>
      <c r="S21" s="194"/>
      <c r="T21" s="202"/>
      <c r="U21" s="203"/>
      <c r="V21" s="203"/>
      <c r="W21" s="203"/>
      <c r="X21" s="203"/>
      <c r="Y21" s="203"/>
      <c r="Z21" s="203"/>
      <c r="AA21" s="203"/>
      <c r="AB21" s="204"/>
      <c r="AC21" s="680"/>
      <c r="AD21" s="681"/>
      <c r="AE21" s="681"/>
      <c r="AF21" s="681"/>
      <c r="AG21" s="681"/>
      <c r="AH21" s="681"/>
      <c r="AI21" s="681"/>
      <c r="AJ21" s="681"/>
      <c r="AK21" s="681"/>
      <c r="AL21" s="681"/>
      <c r="AM21" s="681"/>
      <c r="AN21" s="681"/>
      <c r="AO21" s="682"/>
      <c r="AP21" s="682"/>
      <c r="AQ21" s="682"/>
      <c r="AR21" s="682"/>
      <c r="AS21" s="682"/>
      <c r="AT21" s="682"/>
      <c r="AU21" s="682"/>
      <c r="AV21" s="682"/>
      <c r="AW21" s="682"/>
      <c r="AX21" s="683"/>
      <c r="AY21" s="699" t="str">
        <f>'Used Language'!$C$29</f>
        <v>Non-Revenue Water</v>
      </c>
      <c r="AZ21" s="700"/>
      <c r="BA21" s="700"/>
      <c r="BB21" s="700"/>
      <c r="BC21" s="700"/>
      <c r="BD21" s="700"/>
      <c r="BE21" s="700"/>
      <c r="BF21" s="700"/>
      <c r="BG21" s="719"/>
    </row>
    <row r="22" spans="2:65" ht="6" customHeight="1">
      <c r="B22" s="679"/>
      <c r="C22" s="661"/>
      <c r="D22" s="661"/>
      <c r="E22" s="661"/>
      <c r="F22" s="661"/>
      <c r="G22" s="661"/>
      <c r="H22" s="661"/>
      <c r="I22" s="661"/>
      <c r="J22" s="662"/>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99"/>
      <c r="AZ22" s="700"/>
      <c r="BA22" s="700"/>
      <c r="BB22" s="700"/>
      <c r="BC22" s="700"/>
      <c r="BD22" s="700"/>
      <c r="BE22" s="700"/>
      <c r="BF22" s="700"/>
      <c r="BG22" s="719"/>
    </row>
    <row r="23" spans="2:65" ht="13.15" customHeight="1">
      <c r="B23" s="229"/>
      <c r="C23" s="230"/>
      <c r="D23" s="230"/>
      <c r="E23" s="230"/>
      <c r="F23" s="230"/>
      <c r="G23" s="230"/>
      <c r="H23" s="230"/>
      <c r="I23" s="230"/>
      <c r="J23" s="231"/>
      <c r="K23" s="198"/>
      <c r="L23" s="199"/>
      <c r="M23" s="199"/>
      <c r="N23" s="199"/>
      <c r="O23" s="199"/>
      <c r="P23" s="199"/>
      <c r="Q23" s="199"/>
      <c r="R23" s="199"/>
      <c r="S23" s="200"/>
      <c r="T23" s="699" t="str">
        <f>'Used Language'!$C$21</f>
        <v>Commercial Losses</v>
      </c>
      <c r="U23" s="700"/>
      <c r="V23" s="700"/>
      <c r="W23" s="700"/>
      <c r="X23" s="700"/>
      <c r="Y23" s="700"/>
      <c r="Z23" s="700"/>
      <c r="AA23" s="700"/>
      <c r="AB23" s="701"/>
      <c r="AC23" s="669" t="str">
        <f>'Used Language'!C13</f>
        <v>Unauthorized Consumption</v>
      </c>
      <c r="AD23" s="670"/>
      <c r="AE23" s="670"/>
      <c r="AF23" s="670"/>
      <c r="AG23" s="670"/>
      <c r="AH23" s="670"/>
      <c r="AI23" s="670"/>
      <c r="AJ23" s="670"/>
      <c r="AK23" s="670"/>
      <c r="AL23" s="670"/>
      <c r="AM23" s="670"/>
      <c r="AN23" s="670"/>
      <c r="AO23" s="670"/>
      <c r="AP23" s="670"/>
      <c r="AQ23" s="670"/>
      <c r="AR23" s="670"/>
      <c r="AS23" s="670"/>
      <c r="AT23" s="670"/>
      <c r="AU23" s="670"/>
      <c r="AV23" s="670"/>
      <c r="AW23" s="670"/>
      <c r="AX23" s="671"/>
      <c r="AY23" s="699"/>
      <c r="AZ23" s="700"/>
      <c r="BA23" s="700"/>
      <c r="BB23" s="700"/>
      <c r="BC23" s="700"/>
      <c r="BD23" s="700"/>
      <c r="BE23" s="700"/>
      <c r="BF23" s="700"/>
      <c r="BG23" s="719"/>
    </row>
    <row r="24" spans="2:65" ht="13.5" customHeight="1">
      <c r="B24" s="229"/>
      <c r="C24" s="230"/>
      <c r="D24" s="230"/>
      <c r="E24" s="230"/>
      <c r="F24" s="230"/>
      <c r="G24" s="230"/>
      <c r="H24" s="230"/>
      <c r="I24" s="230"/>
      <c r="J24" s="231"/>
      <c r="K24" s="198"/>
      <c r="L24" s="199"/>
      <c r="M24" s="199"/>
      <c r="N24" s="199"/>
      <c r="O24" s="199"/>
      <c r="P24" s="199"/>
      <c r="Q24" s="199"/>
      <c r="R24" s="199"/>
      <c r="S24" s="200"/>
      <c r="T24" s="699"/>
      <c r="U24" s="700"/>
      <c r="V24" s="700"/>
      <c r="W24" s="700"/>
      <c r="X24" s="700"/>
      <c r="Y24" s="700"/>
      <c r="Z24" s="700"/>
      <c r="AA24" s="700"/>
      <c r="AB24" s="701"/>
      <c r="AC24" s="675">
        <f>IF(Start!M21&gt;0,'Unauth. Cons.'!L31/Start!M21,0)</f>
        <v>0</v>
      </c>
      <c r="AD24" s="676"/>
      <c r="AE24" s="676"/>
      <c r="AF24" s="676"/>
      <c r="AG24" s="676"/>
      <c r="AH24" s="676"/>
      <c r="AI24" s="676"/>
      <c r="AJ24" s="676"/>
      <c r="AK24" s="676"/>
      <c r="AL24" s="676"/>
      <c r="AM24" s="676"/>
      <c r="AN24" s="676"/>
      <c r="AO24" s="677" t="str">
        <f>'Used Language'!$C$31</f>
        <v>m3/day</v>
      </c>
      <c r="AP24" s="677"/>
      <c r="AQ24" s="677"/>
      <c r="AR24" s="677"/>
      <c r="AS24" s="677"/>
      <c r="AT24" s="677"/>
      <c r="AU24" s="677"/>
      <c r="AV24" s="677"/>
      <c r="AW24" s="677"/>
      <c r="AX24" s="678"/>
      <c r="AY24" s="675">
        <f>B19-AY8</f>
        <v>0</v>
      </c>
      <c r="AZ24" s="676"/>
      <c r="BA24" s="676"/>
      <c r="BB24" s="676"/>
      <c r="BC24" s="676"/>
      <c r="BD24" s="677" t="str">
        <f>'Used Language'!$C$31</f>
        <v>m3/day</v>
      </c>
      <c r="BE24" s="677"/>
      <c r="BF24" s="677"/>
      <c r="BG24" s="704"/>
    </row>
    <row r="25" spans="2:65" ht="13.5" customHeight="1">
      <c r="B25" s="228"/>
      <c r="C25" s="190"/>
      <c r="D25" s="190"/>
      <c r="E25" s="190"/>
      <c r="F25" s="190"/>
      <c r="G25" s="190"/>
      <c r="H25" s="190"/>
      <c r="I25" s="190"/>
      <c r="J25" s="191"/>
      <c r="K25" s="198"/>
      <c r="L25" s="199"/>
      <c r="M25" s="199"/>
      <c r="N25" s="199"/>
      <c r="O25" s="199"/>
      <c r="P25" s="199"/>
      <c r="Q25" s="199"/>
      <c r="R25" s="199"/>
      <c r="S25" s="200"/>
      <c r="T25" s="699"/>
      <c r="U25" s="700"/>
      <c r="V25" s="700"/>
      <c r="W25" s="700"/>
      <c r="X25" s="700"/>
      <c r="Y25" s="700"/>
      <c r="Z25" s="700"/>
      <c r="AA25" s="700"/>
      <c r="AB25" s="701"/>
      <c r="AC25" s="680" t="str">
        <f>'Used Language'!$C$30</f>
        <v>Error Margin [+/-]:</v>
      </c>
      <c r="AD25" s="681"/>
      <c r="AE25" s="681"/>
      <c r="AF25" s="681"/>
      <c r="AG25" s="681"/>
      <c r="AH25" s="681"/>
      <c r="AI25" s="681"/>
      <c r="AJ25" s="681"/>
      <c r="AK25" s="681"/>
      <c r="AL25" s="681"/>
      <c r="AM25" s="681"/>
      <c r="AN25" s="681"/>
      <c r="AO25" s="697">
        <f>'Unauth. Cons.'!F24</f>
        <v>0</v>
      </c>
      <c r="AP25" s="697"/>
      <c r="AQ25" s="697"/>
      <c r="AR25" s="697"/>
      <c r="AS25" s="697"/>
      <c r="AT25" s="697"/>
      <c r="AU25" s="697"/>
      <c r="AV25" s="697"/>
      <c r="AW25" s="697"/>
      <c r="AX25" s="698"/>
      <c r="AY25" s="705" t="str">
        <f>'Used Language'!$C$30</f>
        <v>Error Margin [+/-]:</v>
      </c>
      <c r="AZ25" s="706"/>
      <c r="BA25" s="706"/>
      <c r="BB25" s="706"/>
      <c r="BC25" s="706"/>
      <c r="BD25" s="706"/>
      <c r="BE25" s="706"/>
      <c r="BF25" s="706"/>
      <c r="BG25" s="707"/>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75">
        <f>AC24+AC29</f>
        <v>0</v>
      </c>
      <c r="U26" s="676"/>
      <c r="V26" s="676"/>
      <c r="W26" s="676"/>
      <c r="X26" s="676"/>
      <c r="Y26" s="677" t="str">
        <f>'Used Language'!$C$31</f>
        <v>m3/day</v>
      </c>
      <c r="Z26" s="677"/>
      <c r="AA26" s="677"/>
      <c r="AB26" s="678"/>
      <c r="AC26" s="680"/>
      <c r="AD26" s="681"/>
      <c r="AE26" s="681"/>
      <c r="AF26" s="681"/>
      <c r="AG26" s="681"/>
      <c r="AH26" s="681"/>
      <c r="AI26" s="681"/>
      <c r="AJ26" s="681"/>
      <c r="AK26" s="681"/>
      <c r="AL26" s="681"/>
      <c r="AM26" s="681"/>
      <c r="AN26" s="681"/>
      <c r="AO26" s="682"/>
      <c r="AP26" s="682"/>
      <c r="AQ26" s="682"/>
      <c r="AR26" s="682"/>
      <c r="AS26" s="682"/>
      <c r="AT26" s="682"/>
      <c r="AU26" s="682"/>
      <c r="AV26" s="682"/>
      <c r="AW26" s="682"/>
      <c r="AX26" s="683"/>
      <c r="AY26" s="694">
        <f>IF(AY24=0,0,BL25*1.96/AY24)</f>
        <v>0</v>
      </c>
      <c r="AZ26" s="695"/>
      <c r="BA26" s="695"/>
      <c r="BB26" s="695"/>
      <c r="BC26" s="695"/>
      <c r="BD26" s="695"/>
      <c r="BE26" s="695"/>
      <c r="BF26" s="695"/>
      <c r="BG26" s="708"/>
      <c r="BJ26" s="222"/>
    </row>
    <row r="27" spans="2:65" ht="6" customHeight="1">
      <c r="B27" s="229"/>
      <c r="C27" s="230"/>
      <c r="D27" s="230"/>
      <c r="E27" s="230"/>
      <c r="F27" s="230"/>
      <c r="G27" s="230"/>
      <c r="H27" s="230"/>
      <c r="I27" s="230"/>
      <c r="J27" s="231"/>
      <c r="K27" s="198"/>
      <c r="L27" s="199"/>
      <c r="M27" s="199"/>
      <c r="N27" s="199"/>
      <c r="O27" s="199"/>
      <c r="P27" s="199"/>
      <c r="Q27" s="199"/>
      <c r="R27" s="199"/>
      <c r="S27" s="200"/>
      <c r="T27" s="675"/>
      <c r="U27" s="676"/>
      <c r="V27" s="676"/>
      <c r="W27" s="676"/>
      <c r="X27" s="676"/>
      <c r="Y27" s="677"/>
      <c r="Z27" s="677"/>
      <c r="AA27" s="677"/>
      <c r="AB27" s="678"/>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94"/>
      <c r="AZ27" s="695"/>
      <c r="BA27" s="695"/>
      <c r="BB27" s="695"/>
      <c r="BC27" s="695"/>
      <c r="BD27" s="695"/>
      <c r="BE27" s="695"/>
      <c r="BF27" s="695"/>
      <c r="BG27" s="708"/>
      <c r="BJ27" s="222"/>
    </row>
    <row r="28" spans="2:65" ht="26.5" customHeight="1">
      <c r="B28" s="228"/>
      <c r="C28" s="190"/>
      <c r="D28" s="190"/>
      <c r="E28" s="190"/>
      <c r="F28" s="190"/>
      <c r="G28" s="190"/>
      <c r="H28" s="190"/>
      <c r="I28" s="190"/>
      <c r="J28" s="191"/>
      <c r="K28" s="699" t="str">
        <f>'Used Language'!$C$18</f>
        <v>Water Losses</v>
      </c>
      <c r="L28" s="700"/>
      <c r="M28" s="700"/>
      <c r="N28" s="700"/>
      <c r="O28" s="700"/>
      <c r="P28" s="700"/>
      <c r="Q28" s="700"/>
      <c r="R28" s="700"/>
      <c r="S28" s="701"/>
      <c r="T28" s="689" t="str">
        <f>'Used Language'!$C$30</f>
        <v>Error Margin [+/-]:</v>
      </c>
      <c r="U28" s="690"/>
      <c r="V28" s="690"/>
      <c r="W28" s="690"/>
      <c r="X28" s="690"/>
      <c r="Y28" s="690"/>
      <c r="Z28" s="690"/>
      <c r="AA28" s="690"/>
      <c r="AB28" s="691"/>
      <c r="AC28" s="665" t="str">
        <f>'Used Language'!$C$27</f>
        <v>Customer Meter Inaccuracies and Data Handling Errors</v>
      </c>
      <c r="AD28" s="702"/>
      <c r="AE28" s="702"/>
      <c r="AF28" s="702"/>
      <c r="AG28" s="702"/>
      <c r="AH28" s="702"/>
      <c r="AI28" s="702"/>
      <c r="AJ28" s="702"/>
      <c r="AK28" s="702"/>
      <c r="AL28" s="702"/>
      <c r="AM28" s="702"/>
      <c r="AN28" s="702"/>
      <c r="AO28" s="702"/>
      <c r="AP28" s="702"/>
      <c r="AQ28" s="702"/>
      <c r="AR28" s="702"/>
      <c r="AS28" s="702"/>
      <c r="AT28" s="702"/>
      <c r="AU28" s="702"/>
      <c r="AV28" s="702"/>
      <c r="AW28" s="702"/>
      <c r="AX28" s="703"/>
      <c r="AY28" s="245"/>
      <c r="AZ28" s="242"/>
      <c r="BA28" s="242"/>
      <c r="BB28" s="242"/>
      <c r="BC28" s="242"/>
      <c r="BD28" s="242"/>
      <c r="BE28" s="242"/>
      <c r="BF28" s="242"/>
      <c r="BG28" s="243"/>
      <c r="BJ28" s="222"/>
    </row>
    <row r="29" spans="2:65" ht="12.65" customHeight="1">
      <c r="B29" s="228"/>
      <c r="C29" s="190"/>
      <c r="D29" s="190"/>
      <c r="E29" s="190"/>
      <c r="F29" s="190"/>
      <c r="G29" s="190"/>
      <c r="H29" s="190"/>
      <c r="I29" s="190"/>
      <c r="J29" s="191"/>
      <c r="K29" s="712">
        <f>B19-K12</f>
        <v>0</v>
      </c>
      <c r="L29" s="713"/>
      <c r="M29" s="713"/>
      <c r="N29" s="713"/>
      <c r="O29" s="713"/>
      <c r="P29" s="714" t="str">
        <f>'Used Language'!$C$31</f>
        <v>m3/day</v>
      </c>
      <c r="Q29" s="714"/>
      <c r="R29" s="714"/>
      <c r="S29" s="715"/>
      <c r="T29" s="694">
        <f>IF(T26=0,0,BJ32*1.96/T26)</f>
        <v>0</v>
      </c>
      <c r="U29" s="695"/>
      <c r="V29" s="695"/>
      <c r="W29" s="695"/>
      <c r="X29" s="695"/>
      <c r="Y29" s="695"/>
      <c r="Z29" s="695"/>
      <c r="AA29" s="695"/>
      <c r="AB29" s="696"/>
      <c r="AC29" s="675">
        <f>IF(Start!M21&gt;0,'Meter Errors'!L49/Start!M21,0)</f>
        <v>0</v>
      </c>
      <c r="AD29" s="676"/>
      <c r="AE29" s="676"/>
      <c r="AF29" s="676"/>
      <c r="AG29" s="676"/>
      <c r="AH29" s="676"/>
      <c r="AI29" s="676"/>
      <c r="AJ29" s="676"/>
      <c r="AK29" s="676"/>
      <c r="AL29" s="676"/>
      <c r="AM29" s="676"/>
      <c r="AN29" s="676"/>
      <c r="AO29" s="716" t="str">
        <f>'Used Language'!$C$31</f>
        <v>m3/day</v>
      </c>
      <c r="AP29" s="716"/>
      <c r="AQ29" s="716"/>
      <c r="AR29" s="716"/>
      <c r="AS29" s="716"/>
      <c r="AT29" s="716"/>
      <c r="AU29" s="716"/>
      <c r="AV29" s="716"/>
      <c r="AW29" s="716"/>
      <c r="AX29" s="717"/>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705" t="str">
        <f>'Used Language'!$C$30</f>
        <v>Error Margin [+/-]:</v>
      </c>
      <c r="L30" s="706"/>
      <c r="M30" s="706"/>
      <c r="N30" s="706"/>
      <c r="O30" s="706"/>
      <c r="P30" s="706"/>
      <c r="Q30" s="706"/>
      <c r="R30" s="706"/>
      <c r="S30" s="718"/>
      <c r="T30" s="244"/>
      <c r="U30" s="244"/>
      <c r="V30" s="244"/>
      <c r="W30" s="244"/>
      <c r="X30" s="244"/>
      <c r="Y30" s="244"/>
      <c r="Z30" s="244"/>
      <c r="AA30" s="244"/>
      <c r="AB30" s="244"/>
      <c r="AC30" s="680" t="str">
        <f>'Used Language'!$C$30</f>
        <v>Error Margin [+/-]:</v>
      </c>
      <c r="AD30" s="681"/>
      <c r="AE30" s="681"/>
      <c r="AF30" s="681"/>
      <c r="AG30" s="681"/>
      <c r="AH30" s="681"/>
      <c r="AI30" s="681"/>
      <c r="AJ30" s="681"/>
      <c r="AK30" s="681"/>
      <c r="AL30" s="681"/>
      <c r="AM30" s="681"/>
      <c r="AN30" s="681"/>
      <c r="AO30" s="697">
        <f>'Meter Errors'!N42</f>
        <v>0</v>
      </c>
      <c r="AP30" s="697"/>
      <c r="AQ30" s="697"/>
      <c r="AR30" s="697"/>
      <c r="AS30" s="697"/>
      <c r="AT30" s="697"/>
      <c r="AU30" s="697"/>
      <c r="AV30" s="697"/>
      <c r="AW30" s="697"/>
      <c r="AX30" s="698"/>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94">
        <f>IF(K29=0,0,BL34*1.96/K29)</f>
        <v>0</v>
      </c>
      <c r="L31" s="695"/>
      <c r="M31" s="695"/>
      <c r="N31" s="695"/>
      <c r="O31" s="695"/>
      <c r="P31" s="695"/>
      <c r="Q31" s="695"/>
      <c r="R31" s="695"/>
      <c r="S31" s="696"/>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94"/>
      <c r="L32" s="695"/>
      <c r="M32" s="695"/>
      <c r="N32" s="695"/>
      <c r="O32" s="695"/>
      <c r="P32" s="695"/>
      <c r="Q32" s="695"/>
      <c r="R32" s="695"/>
      <c r="S32" s="696"/>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69" t="str">
        <f>'Used Language'!C22</f>
        <v>Physical Losses</v>
      </c>
      <c r="U33" s="670"/>
      <c r="V33" s="670"/>
      <c r="W33" s="670"/>
      <c r="X33" s="670"/>
      <c r="Y33" s="670"/>
      <c r="Z33" s="670"/>
      <c r="AA33" s="670"/>
      <c r="AB33" s="670"/>
      <c r="AC33" s="670"/>
      <c r="AD33" s="670"/>
      <c r="AE33" s="670"/>
      <c r="AF33" s="670"/>
      <c r="AG33" s="670"/>
      <c r="AH33" s="670"/>
      <c r="AI33" s="670"/>
      <c r="AJ33" s="670"/>
      <c r="AK33" s="670"/>
      <c r="AL33" s="670"/>
      <c r="AM33" s="670"/>
      <c r="AN33" s="670"/>
      <c r="AO33" s="670"/>
      <c r="AP33" s="670"/>
      <c r="AQ33" s="670"/>
      <c r="AR33" s="670"/>
      <c r="AS33" s="670"/>
      <c r="AT33" s="670"/>
      <c r="AU33" s="670"/>
      <c r="AV33" s="670"/>
      <c r="AW33" s="670"/>
      <c r="AX33" s="67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75">
        <f>K29-T26</f>
        <v>0</v>
      </c>
      <c r="U34" s="676"/>
      <c r="V34" s="676"/>
      <c r="W34" s="676"/>
      <c r="X34" s="676"/>
      <c r="Y34" s="676"/>
      <c r="Z34" s="676"/>
      <c r="AA34" s="676"/>
      <c r="AB34" s="676"/>
      <c r="AC34" s="676"/>
      <c r="AD34" s="676"/>
      <c r="AE34" s="676"/>
      <c r="AF34" s="676"/>
      <c r="AG34" s="676"/>
      <c r="AH34" s="677" t="str">
        <f>'Used Language'!C31</f>
        <v>m3/day</v>
      </c>
      <c r="AI34" s="677"/>
      <c r="AJ34" s="677"/>
      <c r="AK34" s="677"/>
      <c r="AL34" s="677"/>
      <c r="AM34" s="677"/>
      <c r="AN34" s="677"/>
      <c r="AO34" s="677"/>
      <c r="AP34" s="677"/>
      <c r="AQ34" s="677"/>
      <c r="AR34" s="677"/>
      <c r="AS34" s="677"/>
      <c r="AT34" s="677"/>
      <c r="AU34" s="677"/>
      <c r="AV34" s="677"/>
      <c r="AW34" s="677"/>
      <c r="AX34" s="678"/>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80" t="str">
        <f>'Used Language'!$C$30</f>
        <v>Error Margin [+/-]:</v>
      </c>
      <c r="U35" s="681"/>
      <c r="V35" s="681"/>
      <c r="W35" s="681"/>
      <c r="X35" s="681"/>
      <c r="Y35" s="681"/>
      <c r="Z35" s="681"/>
      <c r="AA35" s="681"/>
      <c r="AB35" s="681"/>
      <c r="AC35" s="681"/>
      <c r="AD35" s="681"/>
      <c r="AE35" s="681"/>
      <c r="AF35" s="681"/>
      <c r="AG35" s="681"/>
      <c r="AH35" s="697">
        <f>IF(T34=0,0,BL35*1.96/T34)</f>
        <v>0</v>
      </c>
      <c r="AI35" s="697"/>
      <c r="AJ35" s="697"/>
      <c r="AK35" s="697"/>
      <c r="AL35" s="697"/>
      <c r="AM35" s="697"/>
      <c r="AN35" s="697"/>
      <c r="AO35" s="697"/>
      <c r="AP35" s="697"/>
      <c r="AQ35" s="697"/>
      <c r="AR35" s="697"/>
      <c r="AS35" s="697"/>
      <c r="AT35" s="697"/>
      <c r="AU35" s="697"/>
      <c r="AV35" s="697"/>
      <c r="AW35" s="697"/>
      <c r="AX35" s="698"/>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709"/>
      <c r="AK36" s="709"/>
      <c r="AL36" s="709"/>
      <c r="AM36" s="709"/>
      <c r="AN36" s="709"/>
      <c r="AO36" s="709"/>
      <c r="AP36" s="709"/>
      <c r="AQ36" s="709"/>
      <c r="AR36" s="709"/>
      <c r="AS36" s="709"/>
      <c r="AT36" s="709"/>
      <c r="AU36" s="709"/>
      <c r="AV36" s="709"/>
      <c r="AW36" s="709"/>
      <c r="AX36" s="710"/>
      <c r="AY36" s="216"/>
      <c r="AZ36" s="217"/>
      <c r="BA36" s="217"/>
      <c r="BB36" s="217"/>
      <c r="BC36" s="217"/>
      <c r="BD36" s="217"/>
      <c r="BE36" s="217"/>
      <c r="BF36" s="217"/>
      <c r="BG36" s="218"/>
    </row>
    <row r="37" spans="2:65" ht="4.9000000000000004" customHeight="1" thickTop="1"/>
  </sheetData>
  <sheetProtection algorithmName="SHA-512" hashValue="rHSYD/97h1yxqqf2TPxHv00ko0erwj74jJVawVkyOqbZu3attinuyph1SgjcxgkxUHvw/C3ZQn1z3JGBJLtHfA==" saltValue="EnAOxYA0+UIapw2B/q0vUw==" spinCount="100000" sheet="1" objects="1" scenarios="1"/>
  <mergeCells count="81">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 ref="BD24:BG24"/>
    <mergeCell ref="AC25:AN25"/>
    <mergeCell ref="AO25:AX25"/>
    <mergeCell ref="AY25:BG25"/>
    <mergeCell ref="AO30:AX30"/>
    <mergeCell ref="AY26:BG27"/>
    <mergeCell ref="AC24:AN24"/>
    <mergeCell ref="AO24:AX24"/>
    <mergeCell ref="AY24:BC24"/>
    <mergeCell ref="AC20:AN20"/>
    <mergeCell ref="AO20:AX20"/>
    <mergeCell ref="K28:S28"/>
    <mergeCell ref="T28:AB28"/>
    <mergeCell ref="AC28:AX28"/>
    <mergeCell ref="T26:X27"/>
    <mergeCell ref="Y26:AB27"/>
    <mergeCell ref="AC26:AN26"/>
    <mergeCell ref="AO26:AX26"/>
    <mergeCell ref="T23:AB25"/>
    <mergeCell ref="AC23:AX23"/>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4"/>
  <dimension ref="B1:BV37"/>
  <sheetViews>
    <sheetView topLeftCell="L1" zoomScale="110" zoomScaleNormal="110" workbookViewId="0">
      <selection activeCell="BP14" sqref="BP14"/>
    </sheetView>
  </sheetViews>
  <sheetFormatPr baseColWidth="10" defaultColWidth="2.453125" defaultRowHeight="14.5"/>
  <cols>
    <col min="1" max="1" width="1.1796875" style="219" customWidth="1"/>
    <col min="2" max="2" width="1.453125" style="219" customWidth="1"/>
    <col min="3" max="6" width="2.81640625" style="219" customWidth="1"/>
    <col min="7" max="8" width="4" style="219" customWidth="1"/>
    <col min="9" max="9" width="0.7265625" style="219" customWidth="1"/>
    <col min="10" max="10" width="1.453125" style="219" customWidth="1"/>
    <col min="11" max="15" width="2.81640625" style="219" customWidth="1"/>
    <col min="16" max="17" width="3.26953125" style="219" customWidth="1"/>
    <col min="18" max="18" width="0.7265625" style="219" customWidth="1"/>
    <col min="19" max="24" width="2.453125" style="219" customWidth="1"/>
    <col min="25" max="26" width="3.54296875" style="219" customWidth="1"/>
    <col min="27" max="27" width="0.7265625" style="219" customWidth="1"/>
    <col min="28" max="28" width="2.453125" style="219" customWidth="1"/>
    <col min="29" max="50" width="1.7265625" style="219" customWidth="1"/>
    <col min="51" max="55" width="2.453125" style="219" customWidth="1"/>
    <col min="56" max="57" width="3.453125" style="219" customWidth="1"/>
    <col min="58" max="58" width="2.453125" style="219" customWidth="1"/>
    <col min="59" max="59" width="0.7265625" style="219" customWidth="1"/>
    <col min="60" max="60" width="1.1796875" style="219" customWidth="1"/>
    <col min="61" max="61" width="2.453125" style="219" hidden="1" customWidth="1"/>
    <col min="62" max="62" width="14.1796875" style="220" hidden="1" customWidth="1"/>
    <col min="63" max="63" width="16.7265625" style="221" hidden="1" customWidth="1"/>
    <col min="64" max="64" width="14.1796875" style="220" hidden="1" customWidth="1"/>
    <col min="65" max="65" width="18.81640625" style="221" hidden="1" customWidth="1"/>
    <col min="66" max="66" width="14.1796875" style="220" hidden="1" customWidth="1"/>
    <col min="67" max="167" width="14.1796875" style="219" customWidth="1"/>
    <col min="168" max="16384" width="2.453125" style="219"/>
  </cols>
  <sheetData>
    <row r="1" spans="2:74" ht="24" customHeight="1" thickBot="1">
      <c r="B1" s="722" t="str">
        <f>'Used Language'!C155</f>
        <v>Water Balance in m3 for a period of</v>
      </c>
      <c r="C1" s="722"/>
      <c r="D1" s="722"/>
      <c r="E1" s="722"/>
      <c r="F1" s="722"/>
      <c r="G1" s="722"/>
      <c r="H1" s="722"/>
      <c r="I1" s="722"/>
      <c r="J1" s="722"/>
      <c r="K1" s="722"/>
      <c r="L1" s="722"/>
      <c r="M1" s="722"/>
      <c r="N1" s="722"/>
      <c r="O1" s="722"/>
      <c r="P1" s="722"/>
      <c r="Q1" s="722"/>
      <c r="R1" s="722"/>
      <c r="S1" s="722"/>
      <c r="T1" s="722"/>
      <c r="U1" s="722"/>
      <c r="V1" s="722"/>
      <c r="W1" s="722"/>
      <c r="X1" s="722"/>
      <c r="Y1" s="722"/>
      <c r="Z1" s="722"/>
      <c r="AA1" s="722"/>
      <c r="AB1" s="722"/>
      <c r="AC1" s="722"/>
      <c r="AD1" s="722"/>
      <c r="AE1" s="722"/>
      <c r="AF1" s="720">
        <f>Start!M21</f>
        <v>365</v>
      </c>
      <c r="AG1" s="720"/>
      <c r="AH1" s="720"/>
      <c r="AI1" s="720"/>
      <c r="AJ1" s="721" t="str">
        <f>'Used Language'!C150</f>
        <v>days</v>
      </c>
      <c r="AK1" s="721"/>
      <c r="AL1" s="721"/>
      <c r="AM1" s="721"/>
      <c r="AN1" s="721"/>
      <c r="AO1" s="721"/>
      <c r="AP1" s="721"/>
      <c r="AQ1" s="721"/>
      <c r="AR1" s="721"/>
      <c r="AS1" s="721"/>
      <c r="AT1" s="721"/>
      <c r="AU1" s="721"/>
      <c r="AV1" s="721"/>
      <c r="AW1" s="721"/>
      <c r="AX1" s="721"/>
      <c r="AY1" s="721"/>
      <c r="AZ1" s="721"/>
      <c r="BA1" s="721"/>
      <c r="BB1" s="721"/>
      <c r="BC1" s="721"/>
      <c r="BD1" s="721"/>
      <c r="BE1" s="721"/>
      <c r="BF1" s="721"/>
      <c r="BG1" s="721"/>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54" t="str">
        <f>'Used Language'!C128</f>
        <v>Home</v>
      </c>
      <c r="BP2" s="555"/>
    </row>
    <row r="3" spans="2:74" ht="13.5" customHeight="1">
      <c r="B3" s="228"/>
      <c r="C3" s="190"/>
      <c r="D3" s="190"/>
      <c r="E3" s="190"/>
      <c r="F3" s="190"/>
      <c r="G3" s="190"/>
      <c r="H3" s="190"/>
      <c r="I3" s="190"/>
      <c r="J3" s="191"/>
      <c r="K3" s="189"/>
      <c r="L3" s="190"/>
      <c r="M3" s="190"/>
      <c r="N3" s="190"/>
      <c r="O3" s="190"/>
      <c r="P3" s="190"/>
      <c r="Q3" s="190"/>
      <c r="R3" s="190"/>
      <c r="S3" s="191"/>
      <c r="T3" s="650" t="str">
        <f>'Used Language'!$C$19</f>
        <v>Billed Authorized Consumption</v>
      </c>
      <c r="U3" s="651"/>
      <c r="V3" s="651"/>
      <c r="W3" s="651"/>
      <c r="X3" s="651"/>
      <c r="Y3" s="651"/>
      <c r="Z3" s="651"/>
      <c r="AA3" s="651"/>
      <c r="AB3" s="652"/>
      <c r="AC3" s="646" t="str">
        <f>'Used Language'!$C$23</f>
        <v>Billed Metered Consumption</v>
      </c>
      <c r="AD3" s="647"/>
      <c r="AE3" s="647"/>
      <c r="AF3" s="647"/>
      <c r="AG3" s="647"/>
      <c r="AH3" s="647"/>
      <c r="AI3" s="647"/>
      <c r="AJ3" s="647"/>
      <c r="AK3" s="647"/>
      <c r="AL3" s="647"/>
      <c r="AM3" s="647"/>
      <c r="AN3" s="647"/>
      <c r="AO3" s="647"/>
      <c r="AP3" s="647"/>
      <c r="AQ3" s="647"/>
      <c r="AR3" s="647"/>
      <c r="AS3" s="647"/>
      <c r="AT3" s="647"/>
      <c r="AU3" s="647"/>
      <c r="AV3" s="647"/>
      <c r="AW3" s="647"/>
      <c r="AX3" s="648"/>
      <c r="AY3" s="650" t="str">
        <f>'Used Language'!$C$28</f>
        <v>Revenue Water</v>
      </c>
      <c r="AZ3" s="651"/>
      <c r="BA3" s="651"/>
      <c r="BB3" s="651"/>
      <c r="BC3" s="651"/>
      <c r="BD3" s="651"/>
      <c r="BE3" s="651"/>
      <c r="BF3" s="651"/>
      <c r="BG3" s="653"/>
      <c r="BO3" s="557"/>
      <c r="BP3" s="558"/>
    </row>
    <row r="4" spans="2:74" ht="13.5" customHeight="1" thickBot="1">
      <c r="B4" s="228"/>
      <c r="C4" s="190"/>
      <c r="D4" s="190"/>
      <c r="E4" s="190"/>
      <c r="F4" s="190"/>
      <c r="G4" s="190"/>
      <c r="H4" s="190"/>
      <c r="I4" s="190"/>
      <c r="J4" s="191"/>
      <c r="K4" s="189"/>
      <c r="L4" s="190"/>
      <c r="M4" s="190"/>
      <c r="N4" s="190"/>
      <c r="O4" s="190"/>
      <c r="P4" s="190"/>
      <c r="Q4" s="190"/>
      <c r="R4" s="190"/>
      <c r="S4" s="191"/>
      <c r="T4" s="650"/>
      <c r="U4" s="651"/>
      <c r="V4" s="651"/>
      <c r="W4" s="651"/>
      <c r="X4" s="651"/>
      <c r="Y4" s="651"/>
      <c r="Z4" s="651"/>
      <c r="AA4" s="651"/>
      <c r="AB4" s="652"/>
      <c r="AC4" s="642">
        <f>IF(Start!M21&gt;0,'Billed Cons'!D28,0)</f>
        <v>0</v>
      </c>
      <c r="AD4" s="643"/>
      <c r="AE4" s="643"/>
      <c r="AF4" s="643"/>
      <c r="AG4" s="643"/>
      <c r="AH4" s="643"/>
      <c r="AI4" s="643"/>
      <c r="AJ4" s="643"/>
      <c r="AK4" s="643"/>
      <c r="AL4" s="643"/>
      <c r="AM4" s="643"/>
      <c r="AN4" s="643"/>
      <c r="AO4" s="644" t="s">
        <v>2936</v>
      </c>
      <c r="AP4" s="644"/>
      <c r="AQ4" s="644"/>
      <c r="AR4" s="644"/>
      <c r="AS4" s="644"/>
      <c r="AT4" s="644"/>
      <c r="AU4" s="644"/>
      <c r="AV4" s="644"/>
      <c r="AW4" s="644"/>
      <c r="AX4" s="645"/>
      <c r="AY4" s="650"/>
      <c r="AZ4" s="651"/>
      <c r="BA4" s="651"/>
      <c r="BB4" s="651"/>
      <c r="BC4" s="651"/>
      <c r="BD4" s="651"/>
      <c r="BE4" s="651"/>
      <c r="BF4" s="651"/>
      <c r="BG4" s="653"/>
      <c r="BO4" s="557"/>
      <c r="BP4" s="558"/>
    </row>
    <row r="5" spans="2:74" ht="13.5" customHeight="1" thickTop="1">
      <c r="B5" s="228"/>
      <c r="C5" s="190"/>
      <c r="D5" s="190"/>
      <c r="E5" s="190"/>
      <c r="F5" s="190"/>
      <c r="G5" s="190"/>
      <c r="H5" s="190"/>
      <c r="I5" s="190"/>
      <c r="J5" s="191"/>
      <c r="K5" s="189"/>
      <c r="L5" s="190"/>
      <c r="M5" s="190"/>
      <c r="N5" s="190"/>
      <c r="O5" s="190"/>
      <c r="P5" s="190"/>
      <c r="Q5" s="190"/>
      <c r="R5" s="190"/>
      <c r="S5" s="191"/>
      <c r="T5" s="650"/>
      <c r="U5" s="651"/>
      <c r="V5" s="651"/>
      <c r="W5" s="651"/>
      <c r="X5" s="651"/>
      <c r="Y5" s="651"/>
      <c r="Z5" s="651"/>
      <c r="AA5" s="651"/>
      <c r="AB5" s="652"/>
      <c r="AC5" s="236"/>
      <c r="AD5" s="237"/>
      <c r="AE5" s="237"/>
      <c r="AF5" s="237"/>
      <c r="AG5" s="237"/>
      <c r="AH5" s="237"/>
      <c r="AI5" s="237"/>
      <c r="AJ5" s="237"/>
      <c r="AK5" s="237"/>
      <c r="AL5" s="237"/>
      <c r="AM5" s="237"/>
      <c r="AN5" s="237"/>
      <c r="AO5" s="238"/>
      <c r="AP5" s="238"/>
      <c r="AQ5" s="238"/>
      <c r="AR5" s="238"/>
      <c r="AS5" s="238"/>
      <c r="AT5" s="238"/>
      <c r="AU5" s="238"/>
      <c r="AV5" s="238"/>
      <c r="AW5" s="238"/>
      <c r="AX5" s="239"/>
      <c r="AY5" s="650"/>
      <c r="AZ5" s="651"/>
      <c r="BA5" s="651"/>
      <c r="BB5" s="651"/>
      <c r="BC5" s="651"/>
      <c r="BD5" s="651"/>
      <c r="BE5" s="651"/>
      <c r="BF5" s="651"/>
      <c r="BG5" s="653"/>
      <c r="BN5" s="631" t="str">
        <f>'Used Language'!C128</f>
        <v>Home</v>
      </c>
      <c r="BO5" s="633"/>
      <c r="BP5" s="633"/>
      <c r="BQ5" s="633"/>
      <c r="BR5" s="633"/>
      <c r="BS5" s="633"/>
      <c r="BT5" s="633"/>
      <c r="BU5" s="633"/>
      <c r="BV5" s="634"/>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638"/>
      <c r="AD6" s="639"/>
      <c r="AE6" s="639"/>
      <c r="AF6" s="639"/>
      <c r="AG6" s="639"/>
      <c r="AH6" s="639"/>
      <c r="AI6" s="639"/>
      <c r="AJ6" s="639"/>
      <c r="AK6" s="639"/>
      <c r="AL6" s="639"/>
      <c r="AM6" s="639"/>
      <c r="AN6" s="639"/>
      <c r="AO6" s="640"/>
      <c r="AP6" s="640"/>
      <c r="AQ6" s="640"/>
      <c r="AR6" s="640"/>
      <c r="AS6" s="640"/>
      <c r="AT6" s="640"/>
      <c r="AU6" s="640"/>
      <c r="AV6" s="640"/>
      <c r="AW6" s="640"/>
      <c r="AX6" s="641"/>
      <c r="AY6" s="189"/>
      <c r="AZ6" s="190"/>
      <c r="BA6" s="190"/>
      <c r="BB6" s="190"/>
      <c r="BC6" s="190"/>
      <c r="BD6" s="190"/>
      <c r="BE6" s="190"/>
      <c r="BF6" s="190"/>
      <c r="BG6" s="240"/>
      <c r="BN6" s="635"/>
      <c r="BO6" s="636"/>
      <c r="BP6" s="636"/>
      <c r="BQ6" s="636"/>
      <c r="BR6" s="636"/>
      <c r="BS6" s="636"/>
      <c r="BT6" s="636"/>
      <c r="BU6" s="636"/>
      <c r="BV6" s="637"/>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642">
        <f>AC4+AC9</f>
        <v>0</v>
      </c>
      <c r="U8" s="643"/>
      <c r="V8" s="643"/>
      <c r="W8" s="643"/>
      <c r="X8" s="643"/>
      <c r="Y8" s="644" t="str">
        <f>'Used Language'!$C$183</f>
        <v>m3</v>
      </c>
      <c r="Z8" s="644"/>
      <c r="AA8" s="644"/>
      <c r="AB8" s="645"/>
      <c r="AC8" s="646" t="str">
        <f>'Used Language'!$C$24</f>
        <v>Billed Unmetered Consumption</v>
      </c>
      <c r="AD8" s="647"/>
      <c r="AE8" s="647"/>
      <c r="AF8" s="647"/>
      <c r="AG8" s="647"/>
      <c r="AH8" s="647"/>
      <c r="AI8" s="647"/>
      <c r="AJ8" s="647"/>
      <c r="AK8" s="647"/>
      <c r="AL8" s="647"/>
      <c r="AM8" s="647"/>
      <c r="AN8" s="647"/>
      <c r="AO8" s="647"/>
      <c r="AP8" s="647"/>
      <c r="AQ8" s="647"/>
      <c r="AR8" s="647"/>
      <c r="AS8" s="647"/>
      <c r="AT8" s="647"/>
      <c r="AU8" s="647"/>
      <c r="AV8" s="647"/>
      <c r="AW8" s="647"/>
      <c r="AX8" s="648"/>
      <c r="AY8" s="642">
        <f>T8</f>
        <v>0</v>
      </c>
      <c r="AZ8" s="643"/>
      <c r="BA8" s="643"/>
      <c r="BB8" s="643"/>
      <c r="BC8" s="643"/>
      <c r="BD8" s="644" t="str">
        <f>'Used Language'!$C$183</f>
        <v>m3</v>
      </c>
      <c r="BE8" s="644"/>
      <c r="BF8" s="644"/>
      <c r="BG8" s="649"/>
    </row>
    <row r="9" spans="2:74" ht="13.5" customHeight="1">
      <c r="B9" s="228"/>
      <c r="C9" s="190"/>
      <c r="D9" s="190"/>
      <c r="E9" s="190"/>
      <c r="F9" s="190"/>
      <c r="G9" s="190"/>
      <c r="H9" s="190"/>
      <c r="I9" s="190"/>
      <c r="J9" s="191"/>
      <c r="K9" s="654" t="str">
        <f>'Used Language'!$C$17</f>
        <v>Authorized Consumption</v>
      </c>
      <c r="L9" s="655"/>
      <c r="M9" s="655"/>
      <c r="N9" s="655"/>
      <c r="O9" s="655"/>
      <c r="P9" s="655"/>
      <c r="Q9" s="655"/>
      <c r="R9" s="655"/>
      <c r="S9" s="656"/>
      <c r="T9" s="657"/>
      <c r="U9" s="658"/>
      <c r="V9" s="658"/>
      <c r="W9" s="658"/>
      <c r="X9" s="658"/>
      <c r="Y9" s="658"/>
      <c r="Z9" s="658"/>
      <c r="AA9" s="658"/>
      <c r="AB9" s="659"/>
      <c r="AC9" s="642">
        <f>IF(Start!M21&gt;0,'Billed Cons'!H28,0)</f>
        <v>0</v>
      </c>
      <c r="AD9" s="643"/>
      <c r="AE9" s="643"/>
      <c r="AF9" s="643"/>
      <c r="AG9" s="643"/>
      <c r="AH9" s="643"/>
      <c r="AI9" s="643"/>
      <c r="AJ9" s="643"/>
      <c r="AK9" s="643"/>
      <c r="AL9" s="643"/>
      <c r="AM9" s="643"/>
      <c r="AN9" s="643"/>
      <c r="AO9" s="644" t="s">
        <v>2936</v>
      </c>
      <c r="AP9" s="644"/>
      <c r="AQ9" s="644"/>
      <c r="AR9" s="644"/>
      <c r="AS9" s="644"/>
      <c r="AT9" s="644"/>
      <c r="AU9" s="644"/>
      <c r="AV9" s="644"/>
      <c r="AW9" s="644"/>
      <c r="AX9" s="645"/>
      <c r="AY9" s="189"/>
      <c r="AZ9" s="190"/>
      <c r="BA9" s="190"/>
      <c r="BB9" s="190"/>
      <c r="BC9" s="190"/>
      <c r="BD9" s="190"/>
      <c r="BE9" s="190"/>
      <c r="BF9" s="190"/>
      <c r="BG9" s="240"/>
    </row>
    <row r="10" spans="2:74" ht="13.5" customHeight="1">
      <c r="B10" s="228"/>
      <c r="C10" s="190"/>
      <c r="D10" s="190"/>
      <c r="E10" s="190"/>
      <c r="F10" s="190"/>
      <c r="G10" s="190"/>
      <c r="H10" s="190"/>
      <c r="I10" s="190"/>
      <c r="J10" s="191"/>
      <c r="K10" s="654"/>
      <c r="L10" s="655"/>
      <c r="M10" s="655"/>
      <c r="N10" s="655"/>
      <c r="O10" s="655"/>
      <c r="P10" s="655"/>
      <c r="Q10" s="655"/>
      <c r="R10" s="655"/>
      <c r="S10" s="656"/>
      <c r="T10" s="660"/>
      <c r="U10" s="661"/>
      <c r="V10" s="661"/>
      <c r="W10" s="661"/>
      <c r="X10" s="661"/>
      <c r="Y10" s="661"/>
      <c r="Z10" s="661"/>
      <c r="AA10" s="661"/>
      <c r="AB10" s="662"/>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54"/>
      <c r="L11" s="655"/>
      <c r="M11" s="655"/>
      <c r="N11" s="655"/>
      <c r="O11" s="655"/>
      <c r="P11" s="655"/>
      <c r="Q11" s="655"/>
      <c r="R11" s="655"/>
      <c r="S11" s="656"/>
      <c r="T11" s="192"/>
      <c r="U11" s="193"/>
      <c r="V11" s="193"/>
      <c r="W11" s="193"/>
      <c r="X11" s="193"/>
      <c r="Y11" s="193"/>
      <c r="Z11" s="193"/>
      <c r="AA11" s="193"/>
      <c r="AB11" s="194"/>
      <c r="AC11" s="638"/>
      <c r="AD11" s="639"/>
      <c r="AE11" s="639"/>
      <c r="AF11" s="639"/>
      <c r="AG11" s="639"/>
      <c r="AH11" s="639"/>
      <c r="AI11" s="639"/>
      <c r="AJ11" s="639"/>
      <c r="AK11" s="639"/>
      <c r="AL11" s="639"/>
      <c r="AM11" s="639"/>
      <c r="AN11" s="639"/>
      <c r="AO11" s="640"/>
      <c r="AP11" s="640"/>
      <c r="AQ11" s="640"/>
      <c r="AR11" s="640"/>
      <c r="AS11" s="640"/>
      <c r="AT11" s="640"/>
      <c r="AU11" s="640"/>
      <c r="AV11" s="640"/>
      <c r="AW11" s="640"/>
      <c r="AX11" s="641"/>
      <c r="AY11" s="192"/>
      <c r="AZ11" s="193"/>
      <c r="BA11" s="193"/>
      <c r="BB11" s="193"/>
      <c r="BC11" s="193"/>
      <c r="BD11" s="193"/>
      <c r="BE11" s="193"/>
      <c r="BF11" s="193"/>
      <c r="BG11" s="241"/>
    </row>
    <row r="12" spans="2:74" ht="6" customHeight="1">
      <c r="B12" s="228"/>
      <c r="C12" s="190"/>
      <c r="D12" s="190"/>
      <c r="E12" s="190"/>
      <c r="F12" s="190"/>
      <c r="G12" s="190"/>
      <c r="H12" s="190"/>
      <c r="I12" s="190"/>
      <c r="J12" s="191"/>
      <c r="K12" s="663">
        <f>T8+T16</f>
        <v>0</v>
      </c>
      <c r="L12" s="664"/>
      <c r="M12" s="664"/>
      <c r="N12" s="664"/>
      <c r="O12" s="664"/>
      <c r="P12" s="644" t="s">
        <v>2936</v>
      </c>
      <c r="Q12" s="644"/>
      <c r="R12" s="644"/>
      <c r="S12" s="645"/>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63"/>
      <c r="L13" s="664"/>
      <c r="M13" s="664"/>
      <c r="N13" s="664"/>
      <c r="O13" s="664"/>
      <c r="P13" s="644"/>
      <c r="Q13" s="644"/>
      <c r="R13" s="644"/>
      <c r="S13" s="645"/>
      <c r="T13" s="665" t="str">
        <f>'Used Language'!$C$20</f>
        <v>Unbilled Authorized Consumption</v>
      </c>
      <c r="U13" s="666"/>
      <c r="V13" s="666"/>
      <c r="W13" s="666"/>
      <c r="X13" s="666"/>
      <c r="Y13" s="666"/>
      <c r="Z13" s="666"/>
      <c r="AA13" s="666"/>
      <c r="AB13" s="667"/>
      <c r="AC13" s="669" t="str">
        <f>'Used Language'!$C$25</f>
        <v>Unbilled Metered Consumption</v>
      </c>
      <c r="AD13" s="670"/>
      <c r="AE13" s="670"/>
      <c r="AF13" s="670"/>
      <c r="AG13" s="670"/>
      <c r="AH13" s="670"/>
      <c r="AI13" s="670"/>
      <c r="AJ13" s="670"/>
      <c r="AK13" s="670"/>
      <c r="AL13" s="670"/>
      <c r="AM13" s="670"/>
      <c r="AN13" s="670"/>
      <c r="AO13" s="670"/>
      <c r="AP13" s="670"/>
      <c r="AQ13" s="670"/>
      <c r="AR13" s="670"/>
      <c r="AS13" s="670"/>
      <c r="AT13" s="670"/>
      <c r="AU13" s="670"/>
      <c r="AV13" s="670"/>
      <c r="AW13" s="670"/>
      <c r="AX13" s="671"/>
      <c r="AY13" s="198"/>
      <c r="AZ13" s="199"/>
      <c r="BA13" s="199"/>
      <c r="BB13" s="199"/>
      <c r="BC13" s="199"/>
      <c r="BD13" s="199"/>
      <c r="BE13" s="199"/>
      <c r="BF13" s="199"/>
      <c r="BG13" s="209"/>
    </row>
    <row r="14" spans="2:74" ht="13.5" customHeight="1">
      <c r="B14" s="228"/>
      <c r="C14" s="190"/>
      <c r="D14" s="190"/>
      <c r="E14" s="190"/>
      <c r="F14" s="190"/>
      <c r="G14" s="190"/>
      <c r="H14" s="190"/>
      <c r="I14" s="190"/>
      <c r="J14" s="191"/>
      <c r="K14" s="672" t="str">
        <f>'Used Language'!$C$30</f>
        <v>Error Margin [+/-]:</v>
      </c>
      <c r="L14" s="673"/>
      <c r="M14" s="673"/>
      <c r="N14" s="673"/>
      <c r="O14" s="673"/>
      <c r="P14" s="673"/>
      <c r="Q14" s="673"/>
      <c r="R14" s="673"/>
      <c r="S14" s="674"/>
      <c r="T14" s="668"/>
      <c r="U14" s="666"/>
      <c r="V14" s="666"/>
      <c r="W14" s="666"/>
      <c r="X14" s="666"/>
      <c r="Y14" s="666"/>
      <c r="Z14" s="666"/>
      <c r="AA14" s="666"/>
      <c r="AB14" s="667"/>
      <c r="AC14" s="675">
        <f>IF(Start!M21&gt;0,'Unb. Cons.'!D32,0)</f>
        <v>0</v>
      </c>
      <c r="AD14" s="676"/>
      <c r="AE14" s="676"/>
      <c r="AF14" s="676"/>
      <c r="AG14" s="676"/>
      <c r="AH14" s="676"/>
      <c r="AI14" s="676"/>
      <c r="AJ14" s="676"/>
      <c r="AK14" s="676"/>
      <c r="AL14" s="676"/>
      <c r="AM14" s="676"/>
      <c r="AN14" s="676"/>
      <c r="AO14" s="677" t="s">
        <v>2936</v>
      </c>
      <c r="AP14" s="677"/>
      <c r="AQ14" s="677"/>
      <c r="AR14" s="677"/>
      <c r="AS14" s="677"/>
      <c r="AT14" s="677"/>
      <c r="AU14" s="677"/>
      <c r="AV14" s="677"/>
      <c r="AW14" s="677"/>
      <c r="AX14" s="678"/>
      <c r="AY14" s="198"/>
      <c r="AZ14" s="199"/>
      <c r="BA14" s="199"/>
      <c r="BB14" s="199"/>
      <c r="BC14" s="199"/>
      <c r="BD14" s="199"/>
      <c r="BE14" s="199"/>
      <c r="BF14" s="199"/>
      <c r="BG14" s="209"/>
    </row>
    <row r="15" spans="2:74" ht="13.5" customHeight="1">
      <c r="B15" s="228"/>
      <c r="C15" s="190"/>
      <c r="D15" s="190"/>
      <c r="E15" s="190"/>
      <c r="F15" s="190"/>
      <c r="G15" s="190"/>
      <c r="H15" s="190"/>
      <c r="I15" s="190"/>
      <c r="J15" s="191"/>
      <c r="K15" s="660">
        <f>IF(K12=0,0,'Unb. Cons.'!O25*1.96/K12)</f>
        <v>0</v>
      </c>
      <c r="L15" s="661"/>
      <c r="M15" s="661"/>
      <c r="N15" s="661"/>
      <c r="O15" s="661"/>
      <c r="P15" s="661"/>
      <c r="Q15" s="661"/>
      <c r="R15" s="661"/>
      <c r="S15" s="662"/>
      <c r="T15" s="668"/>
      <c r="U15" s="666"/>
      <c r="V15" s="666"/>
      <c r="W15" s="666"/>
      <c r="X15" s="666"/>
      <c r="Y15" s="666"/>
      <c r="Z15" s="666"/>
      <c r="AA15" s="666"/>
      <c r="AB15" s="667"/>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75">
        <f>AC14+AC19</f>
        <v>0</v>
      </c>
      <c r="U16" s="676"/>
      <c r="V16" s="676"/>
      <c r="W16" s="676"/>
      <c r="X16" s="676"/>
      <c r="Y16" s="677" t="s">
        <v>2936</v>
      </c>
      <c r="Z16" s="677"/>
      <c r="AA16" s="677"/>
      <c r="AB16" s="678"/>
      <c r="AC16" s="684"/>
      <c r="AD16" s="685"/>
      <c r="AE16" s="685"/>
      <c r="AF16" s="685"/>
      <c r="AG16" s="685"/>
      <c r="AH16" s="685"/>
      <c r="AI16" s="685"/>
      <c r="AJ16" s="685"/>
      <c r="AK16" s="685"/>
      <c r="AL16" s="685"/>
      <c r="AM16" s="685"/>
      <c r="AN16" s="685"/>
      <c r="AO16" s="686"/>
      <c r="AP16" s="686"/>
      <c r="AQ16" s="686"/>
      <c r="AR16" s="686"/>
      <c r="AS16" s="686"/>
      <c r="AT16" s="686"/>
      <c r="AU16" s="686"/>
      <c r="AV16" s="686"/>
      <c r="AW16" s="686"/>
      <c r="AX16" s="687"/>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75"/>
      <c r="U17" s="676"/>
      <c r="V17" s="676"/>
      <c r="W17" s="676"/>
      <c r="X17" s="676"/>
      <c r="Y17" s="677"/>
      <c r="Z17" s="677"/>
      <c r="AA17" s="677"/>
      <c r="AB17" s="678"/>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8" t="str">
        <f>'Used Language'!C16</f>
        <v>System Input Volume</v>
      </c>
      <c r="C18" s="651"/>
      <c r="D18" s="651"/>
      <c r="E18" s="651"/>
      <c r="F18" s="651"/>
      <c r="G18" s="651"/>
      <c r="H18" s="651"/>
      <c r="I18" s="651"/>
      <c r="J18" s="652"/>
      <c r="K18" s="189"/>
      <c r="L18" s="190"/>
      <c r="M18" s="190"/>
      <c r="N18" s="190"/>
      <c r="O18" s="190"/>
      <c r="P18" s="190"/>
      <c r="Q18" s="190"/>
      <c r="R18" s="190"/>
      <c r="S18" s="191"/>
      <c r="T18" s="689" t="str">
        <f>'Used Language'!$C$30</f>
        <v>Error Margin [+/-]:</v>
      </c>
      <c r="U18" s="690"/>
      <c r="V18" s="690"/>
      <c r="W18" s="690"/>
      <c r="X18" s="690"/>
      <c r="Y18" s="690"/>
      <c r="Z18" s="690"/>
      <c r="AA18" s="690"/>
      <c r="AB18" s="691"/>
      <c r="AC18" s="669" t="str">
        <f>'Used Language'!$C$26</f>
        <v>Unbilled Unmetered Consumption</v>
      </c>
      <c r="AD18" s="670"/>
      <c r="AE18" s="670"/>
      <c r="AF18" s="670"/>
      <c r="AG18" s="670"/>
      <c r="AH18" s="670"/>
      <c r="AI18" s="670"/>
      <c r="AJ18" s="670"/>
      <c r="AK18" s="670"/>
      <c r="AL18" s="670"/>
      <c r="AM18" s="670"/>
      <c r="AN18" s="670"/>
      <c r="AO18" s="670"/>
      <c r="AP18" s="670"/>
      <c r="AQ18" s="670"/>
      <c r="AR18" s="670"/>
      <c r="AS18" s="670"/>
      <c r="AT18" s="670"/>
      <c r="AU18" s="670"/>
      <c r="AV18" s="670"/>
      <c r="AW18" s="670"/>
      <c r="AX18" s="671"/>
      <c r="AY18" s="198"/>
      <c r="AZ18" s="199"/>
      <c r="BA18" s="199"/>
      <c r="BB18" s="199"/>
      <c r="BC18" s="199"/>
      <c r="BD18" s="199"/>
      <c r="BE18" s="199"/>
      <c r="BF18" s="199"/>
      <c r="BG18" s="209"/>
    </row>
    <row r="19" spans="2:65" ht="13.5" customHeight="1">
      <c r="B19" s="692">
        <f>IF(Start!M21&gt;0,'Sys. Input'!D79,0)</f>
        <v>0</v>
      </c>
      <c r="C19" s="643"/>
      <c r="D19" s="643"/>
      <c r="E19" s="643"/>
      <c r="F19" s="643"/>
      <c r="G19" s="644" t="str">
        <f>'Used Language'!$C$183</f>
        <v>m3</v>
      </c>
      <c r="H19" s="644"/>
      <c r="I19" s="644"/>
      <c r="J19" s="645"/>
      <c r="K19" s="189"/>
      <c r="L19" s="190"/>
      <c r="M19" s="190"/>
      <c r="N19" s="190"/>
      <c r="O19" s="190"/>
      <c r="P19" s="190"/>
      <c r="Q19" s="190"/>
      <c r="R19" s="190"/>
      <c r="S19" s="191"/>
      <c r="T19" s="689"/>
      <c r="U19" s="690"/>
      <c r="V19" s="690"/>
      <c r="W19" s="690"/>
      <c r="X19" s="690"/>
      <c r="Y19" s="690"/>
      <c r="Z19" s="690"/>
      <c r="AA19" s="690"/>
      <c r="AB19" s="691"/>
      <c r="AC19" s="675">
        <f>IF(Start!M21&gt;0,'Unb. Cons.'!H32,0)</f>
        <v>0</v>
      </c>
      <c r="AD19" s="676"/>
      <c r="AE19" s="676"/>
      <c r="AF19" s="676"/>
      <c r="AG19" s="676"/>
      <c r="AH19" s="676"/>
      <c r="AI19" s="676"/>
      <c r="AJ19" s="676"/>
      <c r="AK19" s="676"/>
      <c r="AL19" s="676"/>
      <c r="AM19" s="676"/>
      <c r="AN19" s="676"/>
      <c r="AO19" s="677" t="s">
        <v>2936</v>
      </c>
      <c r="AP19" s="677"/>
      <c r="AQ19" s="677"/>
      <c r="AR19" s="677"/>
      <c r="AS19" s="677"/>
      <c r="AT19" s="677"/>
      <c r="AU19" s="677"/>
      <c r="AV19" s="677"/>
      <c r="AW19" s="677"/>
      <c r="AX19" s="678"/>
      <c r="AY19" s="198"/>
      <c r="AZ19" s="199"/>
      <c r="BA19" s="201"/>
      <c r="BB19" s="199"/>
      <c r="BC19" s="199"/>
      <c r="BD19" s="199"/>
      <c r="BE19" s="199"/>
      <c r="BF19" s="199"/>
      <c r="BG19" s="209"/>
    </row>
    <row r="20" spans="2:65" ht="13.5" customHeight="1">
      <c r="B20" s="693" t="str">
        <f>'Used Language'!$C$30</f>
        <v>Error Margin [+/-]:</v>
      </c>
      <c r="C20" s="673"/>
      <c r="D20" s="673"/>
      <c r="E20" s="673"/>
      <c r="F20" s="673"/>
      <c r="G20" s="673"/>
      <c r="H20" s="673"/>
      <c r="I20" s="673"/>
      <c r="J20" s="674"/>
      <c r="K20" s="189"/>
      <c r="L20" s="190"/>
      <c r="M20" s="190"/>
      <c r="N20" s="190"/>
      <c r="O20" s="190"/>
      <c r="P20" s="190"/>
      <c r="Q20" s="190"/>
      <c r="R20" s="190"/>
      <c r="S20" s="191"/>
      <c r="T20" s="694">
        <f>IF(T16=0,0,'Unb. Cons.'!O25*1.96/T16)</f>
        <v>0</v>
      </c>
      <c r="U20" s="695"/>
      <c r="V20" s="695"/>
      <c r="W20" s="695"/>
      <c r="X20" s="695"/>
      <c r="Y20" s="695"/>
      <c r="Z20" s="695"/>
      <c r="AA20" s="695"/>
      <c r="AB20" s="696"/>
      <c r="AC20" s="680" t="str">
        <f>'Used Language'!$C$30</f>
        <v>Error Margin [+/-]:</v>
      </c>
      <c r="AD20" s="681"/>
      <c r="AE20" s="681"/>
      <c r="AF20" s="681"/>
      <c r="AG20" s="681"/>
      <c r="AH20" s="681"/>
      <c r="AI20" s="681"/>
      <c r="AJ20" s="681"/>
      <c r="AK20" s="681"/>
      <c r="AL20" s="681"/>
      <c r="AM20" s="681"/>
      <c r="AN20" s="681"/>
      <c r="AO20" s="697">
        <f>'Unb. Cons.'!J25</f>
        <v>0</v>
      </c>
      <c r="AP20" s="697"/>
      <c r="AQ20" s="697"/>
      <c r="AR20" s="697"/>
      <c r="AS20" s="697"/>
      <c r="AT20" s="697"/>
      <c r="AU20" s="697"/>
      <c r="AV20" s="697"/>
      <c r="AW20" s="697"/>
      <c r="AX20" s="698"/>
      <c r="AY20" s="198"/>
      <c r="AZ20" s="199"/>
      <c r="BA20" s="199"/>
      <c r="BB20" s="199"/>
      <c r="BC20" s="199"/>
      <c r="BD20" s="199"/>
      <c r="BE20" s="199"/>
      <c r="BF20" s="199"/>
      <c r="BG20" s="209"/>
    </row>
    <row r="21" spans="2:65" ht="6" customHeight="1">
      <c r="B21" s="679">
        <f>'Sys. Input'!F72</f>
        <v>0</v>
      </c>
      <c r="C21" s="661"/>
      <c r="D21" s="661"/>
      <c r="E21" s="661"/>
      <c r="F21" s="661"/>
      <c r="G21" s="661"/>
      <c r="H21" s="661"/>
      <c r="I21" s="661"/>
      <c r="J21" s="662"/>
      <c r="K21" s="192"/>
      <c r="L21" s="193"/>
      <c r="M21" s="193"/>
      <c r="N21" s="193"/>
      <c r="O21" s="193"/>
      <c r="P21" s="193"/>
      <c r="Q21" s="193"/>
      <c r="R21" s="193"/>
      <c r="S21" s="194"/>
      <c r="T21" s="202"/>
      <c r="U21" s="203"/>
      <c r="V21" s="203"/>
      <c r="W21" s="203"/>
      <c r="X21" s="203"/>
      <c r="Y21" s="203"/>
      <c r="Z21" s="203"/>
      <c r="AA21" s="203"/>
      <c r="AB21" s="204"/>
      <c r="AC21" s="680"/>
      <c r="AD21" s="681"/>
      <c r="AE21" s="681"/>
      <c r="AF21" s="681"/>
      <c r="AG21" s="681"/>
      <c r="AH21" s="681"/>
      <c r="AI21" s="681"/>
      <c r="AJ21" s="681"/>
      <c r="AK21" s="681"/>
      <c r="AL21" s="681"/>
      <c r="AM21" s="681"/>
      <c r="AN21" s="681"/>
      <c r="AO21" s="682"/>
      <c r="AP21" s="682"/>
      <c r="AQ21" s="682"/>
      <c r="AR21" s="682"/>
      <c r="AS21" s="682"/>
      <c r="AT21" s="682"/>
      <c r="AU21" s="682"/>
      <c r="AV21" s="682"/>
      <c r="AW21" s="682"/>
      <c r="AX21" s="683"/>
      <c r="AY21" s="699" t="str">
        <f>'Used Language'!$C$29</f>
        <v>Non-Revenue Water</v>
      </c>
      <c r="AZ21" s="700"/>
      <c r="BA21" s="700"/>
      <c r="BB21" s="700"/>
      <c r="BC21" s="700"/>
      <c r="BD21" s="700"/>
      <c r="BE21" s="700"/>
      <c r="BF21" s="700"/>
      <c r="BG21" s="719"/>
    </row>
    <row r="22" spans="2:65" ht="6" customHeight="1">
      <c r="B22" s="679"/>
      <c r="C22" s="661"/>
      <c r="D22" s="661"/>
      <c r="E22" s="661"/>
      <c r="F22" s="661"/>
      <c r="G22" s="661"/>
      <c r="H22" s="661"/>
      <c r="I22" s="661"/>
      <c r="J22" s="662"/>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99"/>
      <c r="AZ22" s="700"/>
      <c r="BA22" s="700"/>
      <c r="BB22" s="700"/>
      <c r="BC22" s="700"/>
      <c r="BD22" s="700"/>
      <c r="BE22" s="700"/>
      <c r="BF22" s="700"/>
      <c r="BG22" s="719"/>
    </row>
    <row r="23" spans="2:65" ht="13.15" customHeight="1">
      <c r="B23" s="229"/>
      <c r="C23" s="230"/>
      <c r="D23" s="230"/>
      <c r="E23" s="230"/>
      <c r="F23" s="230"/>
      <c r="G23" s="230"/>
      <c r="H23" s="230"/>
      <c r="I23" s="230"/>
      <c r="J23" s="231"/>
      <c r="K23" s="198"/>
      <c r="L23" s="199"/>
      <c r="M23" s="199"/>
      <c r="N23" s="199"/>
      <c r="O23" s="199"/>
      <c r="P23" s="199"/>
      <c r="Q23" s="199"/>
      <c r="R23" s="199"/>
      <c r="S23" s="200"/>
      <c r="T23" s="699" t="str">
        <f>'Used Language'!$C$21</f>
        <v>Commercial Losses</v>
      </c>
      <c r="U23" s="700"/>
      <c r="V23" s="700"/>
      <c r="W23" s="700"/>
      <c r="X23" s="700"/>
      <c r="Y23" s="700"/>
      <c r="Z23" s="700"/>
      <c r="AA23" s="700"/>
      <c r="AB23" s="701"/>
      <c r="AC23" s="669" t="str">
        <f>'Used Language'!C13</f>
        <v>Unauthorized Consumption</v>
      </c>
      <c r="AD23" s="670"/>
      <c r="AE23" s="670"/>
      <c r="AF23" s="670"/>
      <c r="AG23" s="670"/>
      <c r="AH23" s="670"/>
      <c r="AI23" s="670"/>
      <c r="AJ23" s="670"/>
      <c r="AK23" s="670"/>
      <c r="AL23" s="670"/>
      <c r="AM23" s="670"/>
      <c r="AN23" s="670"/>
      <c r="AO23" s="670"/>
      <c r="AP23" s="670"/>
      <c r="AQ23" s="670"/>
      <c r="AR23" s="670"/>
      <c r="AS23" s="670"/>
      <c r="AT23" s="670"/>
      <c r="AU23" s="670"/>
      <c r="AV23" s="670"/>
      <c r="AW23" s="670"/>
      <c r="AX23" s="671"/>
      <c r="AY23" s="699"/>
      <c r="AZ23" s="700"/>
      <c r="BA23" s="700"/>
      <c r="BB23" s="700"/>
      <c r="BC23" s="700"/>
      <c r="BD23" s="700"/>
      <c r="BE23" s="700"/>
      <c r="BF23" s="700"/>
      <c r="BG23" s="719"/>
    </row>
    <row r="24" spans="2:65" ht="13.5" customHeight="1">
      <c r="B24" s="229"/>
      <c r="C24" s="230"/>
      <c r="D24" s="230"/>
      <c r="E24" s="230"/>
      <c r="F24" s="230"/>
      <c r="G24" s="230"/>
      <c r="H24" s="230"/>
      <c r="I24" s="230"/>
      <c r="J24" s="231"/>
      <c r="K24" s="198"/>
      <c r="L24" s="199"/>
      <c r="M24" s="199"/>
      <c r="N24" s="199"/>
      <c r="O24" s="199"/>
      <c r="P24" s="199"/>
      <c r="Q24" s="199"/>
      <c r="R24" s="199"/>
      <c r="S24" s="200"/>
      <c r="T24" s="699"/>
      <c r="U24" s="700"/>
      <c r="V24" s="700"/>
      <c r="W24" s="700"/>
      <c r="X24" s="700"/>
      <c r="Y24" s="700"/>
      <c r="Z24" s="700"/>
      <c r="AA24" s="700"/>
      <c r="AB24" s="701"/>
      <c r="AC24" s="675">
        <f>IF(Start!M21&gt;0,'Unauth. Cons.'!L31,0)</f>
        <v>0</v>
      </c>
      <c r="AD24" s="676"/>
      <c r="AE24" s="676"/>
      <c r="AF24" s="676"/>
      <c r="AG24" s="676"/>
      <c r="AH24" s="676"/>
      <c r="AI24" s="676"/>
      <c r="AJ24" s="676"/>
      <c r="AK24" s="676"/>
      <c r="AL24" s="676"/>
      <c r="AM24" s="676"/>
      <c r="AN24" s="676"/>
      <c r="AO24" s="677" t="s">
        <v>2936</v>
      </c>
      <c r="AP24" s="677"/>
      <c r="AQ24" s="677"/>
      <c r="AR24" s="677"/>
      <c r="AS24" s="677"/>
      <c r="AT24" s="677"/>
      <c r="AU24" s="677"/>
      <c r="AV24" s="677"/>
      <c r="AW24" s="677"/>
      <c r="AX24" s="678"/>
      <c r="AY24" s="675">
        <f>B19-AY8</f>
        <v>0</v>
      </c>
      <c r="AZ24" s="676"/>
      <c r="BA24" s="676"/>
      <c r="BB24" s="676"/>
      <c r="BC24" s="676"/>
      <c r="BD24" s="677" t="str">
        <f>'Used Language'!$C$183</f>
        <v>m3</v>
      </c>
      <c r="BE24" s="677"/>
      <c r="BF24" s="677"/>
      <c r="BG24" s="704"/>
    </row>
    <row r="25" spans="2:65" ht="13.5" customHeight="1">
      <c r="B25" s="228"/>
      <c r="C25" s="190"/>
      <c r="D25" s="190"/>
      <c r="E25" s="190"/>
      <c r="F25" s="190"/>
      <c r="G25" s="190"/>
      <c r="H25" s="190"/>
      <c r="I25" s="190"/>
      <c r="J25" s="191"/>
      <c r="K25" s="198"/>
      <c r="L25" s="199"/>
      <c r="M25" s="199"/>
      <c r="N25" s="199"/>
      <c r="O25" s="199"/>
      <c r="P25" s="199"/>
      <c r="Q25" s="199"/>
      <c r="R25" s="199"/>
      <c r="S25" s="200"/>
      <c r="T25" s="699"/>
      <c r="U25" s="700"/>
      <c r="V25" s="700"/>
      <c r="W25" s="700"/>
      <c r="X25" s="700"/>
      <c r="Y25" s="700"/>
      <c r="Z25" s="700"/>
      <c r="AA25" s="700"/>
      <c r="AB25" s="701"/>
      <c r="AC25" s="680" t="str">
        <f>'Used Language'!$C$30</f>
        <v>Error Margin [+/-]:</v>
      </c>
      <c r="AD25" s="681"/>
      <c r="AE25" s="681"/>
      <c r="AF25" s="681"/>
      <c r="AG25" s="681"/>
      <c r="AH25" s="681"/>
      <c r="AI25" s="681"/>
      <c r="AJ25" s="681"/>
      <c r="AK25" s="681"/>
      <c r="AL25" s="681"/>
      <c r="AM25" s="681"/>
      <c r="AN25" s="681"/>
      <c r="AO25" s="697">
        <f>'Unauth. Cons.'!F24</f>
        <v>0</v>
      </c>
      <c r="AP25" s="697"/>
      <c r="AQ25" s="697"/>
      <c r="AR25" s="697"/>
      <c r="AS25" s="697"/>
      <c r="AT25" s="697"/>
      <c r="AU25" s="697"/>
      <c r="AV25" s="697"/>
      <c r="AW25" s="697"/>
      <c r="AX25" s="698"/>
      <c r="AY25" s="705" t="str">
        <f>'Used Language'!$C$30</f>
        <v>Error Margin [+/-]:</v>
      </c>
      <c r="AZ25" s="706"/>
      <c r="BA25" s="706"/>
      <c r="BB25" s="706"/>
      <c r="BC25" s="706"/>
      <c r="BD25" s="706"/>
      <c r="BE25" s="706"/>
      <c r="BF25" s="706"/>
      <c r="BG25" s="707"/>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75">
        <f>AC24+AC29</f>
        <v>0</v>
      </c>
      <c r="U26" s="676"/>
      <c r="V26" s="676"/>
      <c r="W26" s="676"/>
      <c r="X26" s="676"/>
      <c r="Y26" s="677" t="s">
        <v>2936</v>
      </c>
      <c r="Z26" s="677"/>
      <c r="AA26" s="677"/>
      <c r="AB26" s="678"/>
      <c r="AC26" s="680"/>
      <c r="AD26" s="681"/>
      <c r="AE26" s="681"/>
      <c r="AF26" s="681"/>
      <c r="AG26" s="681"/>
      <c r="AH26" s="681"/>
      <c r="AI26" s="681"/>
      <c r="AJ26" s="681"/>
      <c r="AK26" s="681"/>
      <c r="AL26" s="681"/>
      <c r="AM26" s="681"/>
      <c r="AN26" s="681"/>
      <c r="AO26" s="682"/>
      <c r="AP26" s="682"/>
      <c r="AQ26" s="682"/>
      <c r="AR26" s="682"/>
      <c r="AS26" s="682"/>
      <c r="AT26" s="682"/>
      <c r="AU26" s="682"/>
      <c r="AV26" s="682"/>
      <c r="AW26" s="682"/>
      <c r="AX26" s="683"/>
      <c r="AY26" s="694">
        <f>IF(AY24=0,0,BL25*1.96/AY24)</f>
        <v>0</v>
      </c>
      <c r="AZ26" s="695"/>
      <c r="BA26" s="695"/>
      <c r="BB26" s="695"/>
      <c r="BC26" s="695"/>
      <c r="BD26" s="695"/>
      <c r="BE26" s="695"/>
      <c r="BF26" s="695"/>
      <c r="BG26" s="708"/>
      <c r="BJ26" s="222"/>
    </row>
    <row r="27" spans="2:65" ht="6" customHeight="1">
      <c r="B27" s="229"/>
      <c r="C27" s="230"/>
      <c r="D27" s="230"/>
      <c r="E27" s="230"/>
      <c r="F27" s="230"/>
      <c r="G27" s="230"/>
      <c r="H27" s="230"/>
      <c r="I27" s="230"/>
      <c r="J27" s="231"/>
      <c r="K27" s="198"/>
      <c r="L27" s="199"/>
      <c r="M27" s="199"/>
      <c r="N27" s="199"/>
      <c r="O27" s="199"/>
      <c r="P27" s="199"/>
      <c r="Q27" s="199"/>
      <c r="R27" s="199"/>
      <c r="S27" s="200"/>
      <c r="T27" s="675"/>
      <c r="U27" s="676"/>
      <c r="V27" s="676"/>
      <c r="W27" s="676"/>
      <c r="X27" s="676"/>
      <c r="Y27" s="677"/>
      <c r="Z27" s="677"/>
      <c r="AA27" s="677"/>
      <c r="AB27" s="678"/>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94"/>
      <c r="AZ27" s="695"/>
      <c r="BA27" s="695"/>
      <c r="BB27" s="695"/>
      <c r="BC27" s="695"/>
      <c r="BD27" s="695"/>
      <c r="BE27" s="695"/>
      <c r="BF27" s="695"/>
      <c r="BG27" s="708"/>
      <c r="BJ27" s="222"/>
    </row>
    <row r="28" spans="2:65" ht="26.5" customHeight="1">
      <c r="B28" s="228"/>
      <c r="C28" s="190"/>
      <c r="D28" s="190"/>
      <c r="E28" s="190"/>
      <c r="F28" s="190"/>
      <c r="G28" s="190"/>
      <c r="H28" s="190"/>
      <c r="I28" s="190"/>
      <c r="J28" s="191"/>
      <c r="K28" s="699" t="str">
        <f>'Used Language'!$C$18</f>
        <v>Water Losses</v>
      </c>
      <c r="L28" s="700"/>
      <c r="M28" s="700"/>
      <c r="N28" s="700"/>
      <c r="O28" s="700"/>
      <c r="P28" s="700"/>
      <c r="Q28" s="700"/>
      <c r="R28" s="700"/>
      <c r="S28" s="701"/>
      <c r="T28" s="689" t="str">
        <f>'Used Language'!$C$30</f>
        <v>Error Margin [+/-]:</v>
      </c>
      <c r="U28" s="690"/>
      <c r="V28" s="690"/>
      <c r="W28" s="690"/>
      <c r="X28" s="690"/>
      <c r="Y28" s="690"/>
      <c r="Z28" s="690"/>
      <c r="AA28" s="690"/>
      <c r="AB28" s="691"/>
      <c r="AC28" s="665" t="str">
        <f>'Used Language'!$C$27</f>
        <v>Customer Meter Inaccuracies and Data Handling Errors</v>
      </c>
      <c r="AD28" s="702"/>
      <c r="AE28" s="702"/>
      <c r="AF28" s="702"/>
      <c r="AG28" s="702"/>
      <c r="AH28" s="702"/>
      <c r="AI28" s="702"/>
      <c r="AJ28" s="702"/>
      <c r="AK28" s="702"/>
      <c r="AL28" s="702"/>
      <c r="AM28" s="702"/>
      <c r="AN28" s="702"/>
      <c r="AO28" s="702"/>
      <c r="AP28" s="702"/>
      <c r="AQ28" s="702"/>
      <c r="AR28" s="702"/>
      <c r="AS28" s="702"/>
      <c r="AT28" s="702"/>
      <c r="AU28" s="702"/>
      <c r="AV28" s="702"/>
      <c r="AW28" s="702"/>
      <c r="AX28" s="703"/>
      <c r="AY28" s="245"/>
      <c r="AZ28" s="242"/>
      <c r="BA28" s="242"/>
      <c r="BB28" s="242"/>
      <c r="BC28" s="242"/>
      <c r="BD28" s="242"/>
      <c r="BE28" s="242"/>
      <c r="BF28" s="242"/>
      <c r="BG28" s="243"/>
      <c r="BJ28" s="222"/>
    </row>
    <row r="29" spans="2:65" ht="12.65" customHeight="1">
      <c r="B29" s="228"/>
      <c r="C29" s="190"/>
      <c r="D29" s="190"/>
      <c r="E29" s="190"/>
      <c r="F29" s="190"/>
      <c r="G29" s="190"/>
      <c r="H29" s="190"/>
      <c r="I29" s="190"/>
      <c r="J29" s="191"/>
      <c r="K29" s="712">
        <f>B19-K12</f>
        <v>0</v>
      </c>
      <c r="L29" s="713"/>
      <c r="M29" s="713"/>
      <c r="N29" s="713"/>
      <c r="O29" s="713"/>
      <c r="P29" s="714" t="str">
        <f>'Used Language'!$C$183</f>
        <v>m3</v>
      </c>
      <c r="Q29" s="714"/>
      <c r="R29" s="714"/>
      <c r="S29" s="715"/>
      <c r="T29" s="694">
        <f>IF(T26=0,0,BJ32*1.96/T26)</f>
        <v>0</v>
      </c>
      <c r="U29" s="695"/>
      <c r="V29" s="695"/>
      <c r="W29" s="695"/>
      <c r="X29" s="695"/>
      <c r="Y29" s="695"/>
      <c r="Z29" s="695"/>
      <c r="AA29" s="695"/>
      <c r="AB29" s="696"/>
      <c r="AC29" s="675">
        <f>IF(Start!M21&gt;0,'Meter Errors'!L49,0)</f>
        <v>0</v>
      </c>
      <c r="AD29" s="676"/>
      <c r="AE29" s="676"/>
      <c r="AF29" s="676"/>
      <c r="AG29" s="676"/>
      <c r="AH29" s="676"/>
      <c r="AI29" s="676"/>
      <c r="AJ29" s="676"/>
      <c r="AK29" s="676"/>
      <c r="AL29" s="676"/>
      <c r="AM29" s="676"/>
      <c r="AN29" s="676"/>
      <c r="AO29" s="716" t="s">
        <v>2936</v>
      </c>
      <c r="AP29" s="716"/>
      <c r="AQ29" s="716"/>
      <c r="AR29" s="716"/>
      <c r="AS29" s="716"/>
      <c r="AT29" s="716"/>
      <c r="AU29" s="716"/>
      <c r="AV29" s="716"/>
      <c r="AW29" s="716"/>
      <c r="AX29" s="717"/>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705" t="str">
        <f>'Used Language'!$C$30</f>
        <v>Error Margin [+/-]:</v>
      </c>
      <c r="L30" s="706"/>
      <c r="M30" s="706"/>
      <c r="N30" s="706"/>
      <c r="O30" s="706"/>
      <c r="P30" s="706"/>
      <c r="Q30" s="706"/>
      <c r="R30" s="706"/>
      <c r="S30" s="718"/>
      <c r="T30" s="244"/>
      <c r="U30" s="244"/>
      <c r="V30" s="244"/>
      <c r="W30" s="244"/>
      <c r="X30" s="244"/>
      <c r="Y30" s="244"/>
      <c r="Z30" s="244"/>
      <c r="AA30" s="244"/>
      <c r="AB30" s="244"/>
      <c r="AC30" s="680" t="str">
        <f>'Used Language'!$C$30</f>
        <v>Error Margin [+/-]:</v>
      </c>
      <c r="AD30" s="681"/>
      <c r="AE30" s="681"/>
      <c r="AF30" s="681"/>
      <c r="AG30" s="681"/>
      <c r="AH30" s="681"/>
      <c r="AI30" s="681"/>
      <c r="AJ30" s="681"/>
      <c r="AK30" s="681"/>
      <c r="AL30" s="681"/>
      <c r="AM30" s="681"/>
      <c r="AN30" s="681"/>
      <c r="AO30" s="697">
        <f>'Meter Errors'!N42</f>
        <v>0</v>
      </c>
      <c r="AP30" s="697"/>
      <c r="AQ30" s="697"/>
      <c r="AR30" s="697"/>
      <c r="AS30" s="697"/>
      <c r="AT30" s="697"/>
      <c r="AU30" s="697"/>
      <c r="AV30" s="697"/>
      <c r="AW30" s="697"/>
      <c r="AX30" s="698"/>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94">
        <f>IF(K29=0,0,BL34*1.96/K29)</f>
        <v>0</v>
      </c>
      <c r="L31" s="695"/>
      <c r="M31" s="695"/>
      <c r="N31" s="695"/>
      <c r="O31" s="695"/>
      <c r="P31" s="695"/>
      <c r="Q31" s="695"/>
      <c r="R31" s="695"/>
      <c r="S31" s="696"/>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94"/>
      <c r="L32" s="695"/>
      <c r="M32" s="695"/>
      <c r="N32" s="695"/>
      <c r="O32" s="695"/>
      <c r="P32" s="695"/>
      <c r="Q32" s="695"/>
      <c r="R32" s="695"/>
      <c r="S32" s="696"/>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69" t="str">
        <f>'Used Language'!C22</f>
        <v>Physical Losses</v>
      </c>
      <c r="U33" s="670"/>
      <c r="V33" s="670"/>
      <c r="W33" s="670"/>
      <c r="X33" s="670"/>
      <c r="Y33" s="670"/>
      <c r="Z33" s="670"/>
      <c r="AA33" s="670"/>
      <c r="AB33" s="670"/>
      <c r="AC33" s="670"/>
      <c r="AD33" s="670"/>
      <c r="AE33" s="670"/>
      <c r="AF33" s="670"/>
      <c r="AG33" s="670"/>
      <c r="AH33" s="670"/>
      <c r="AI33" s="670"/>
      <c r="AJ33" s="670"/>
      <c r="AK33" s="670"/>
      <c r="AL33" s="670"/>
      <c r="AM33" s="670"/>
      <c r="AN33" s="670"/>
      <c r="AO33" s="670"/>
      <c r="AP33" s="670"/>
      <c r="AQ33" s="670"/>
      <c r="AR33" s="670"/>
      <c r="AS33" s="670"/>
      <c r="AT33" s="670"/>
      <c r="AU33" s="670"/>
      <c r="AV33" s="670"/>
      <c r="AW33" s="670"/>
      <c r="AX33" s="67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75">
        <f>K29-T26</f>
        <v>0</v>
      </c>
      <c r="U34" s="676"/>
      <c r="V34" s="676"/>
      <c r="W34" s="676"/>
      <c r="X34" s="676"/>
      <c r="Y34" s="676"/>
      <c r="Z34" s="676"/>
      <c r="AA34" s="676"/>
      <c r="AB34" s="676"/>
      <c r="AC34" s="676"/>
      <c r="AD34" s="676"/>
      <c r="AE34" s="676"/>
      <c r="AF34" s="676"/>
      <c r="AG34" s="676"/>
      <c r="AH34" s="677" t="s">
        <v>2936</v>
      </c>
      <c r="AI34" s="677"/>
      <c r="AJ34" s="677"/>
      <c r="AK34" s="677"/>
      <c r="AL34" s="677"/>
      <c r="AM34" s="677"/>
      <c r="AN34" s="677"/>
      <c r="AO34" s="677"/>
      <c r="AP34" s="677"/>
      <c r="AQ34" s="677"/>
      <c r="AR34" s="677"/>
      <c r="AS34" s="677"/>
      <c r="AT34" s="677"/>
      <c r="AU34" s="677"/>
      <c r="AV34" s="677"/>
      <c r="AW34" s="677"/>
      <c r="AX34" s="678"/>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80" t="str">
        <f>'Used Language'!$C$30</f>
        <v>Error Margin [+/-]:</v>
      </c>
      <c r="U35" s="681"/>
      <c r="V35" s="681"/>
      <c r="W35" s="681"/>
      <c r="X35" s="681"/>
      <c r="Y35" s="681"/>
      <c r="Z35" s="681"/>
      <c r="AA35" s="681"/>
      <c r="AB35" s="681"/>
      <c r="AC35" s="681"/>
      <c r="AD35" s="681"/>
      <c r="AE35" s="681"/>
      <c r="AF35" s="681"/>
      <c r="AG35" s="681"/>
      <c r="AH35" s="697">
        <f>IF(T34=0,0,BL35*1.96/T34)</f>
        <v>0</v>
      </c>
      <c r="AI35" s="697"/>
      <c r="AJ35" s="697"/>
      <c r="AK35" s="697"/>
      <c r="AL35" s="697"/>
      <c r="AM35" s="697"/>
      <c r="AN35" s="697"/>
      <c r="AO35" s="697"/>
      <c r="AP35" s="697"/>
      <c r="AQ35" s="697"/>
      <c r="AR35" s="697"/>
      <c r="AS35" s="697"/>
      <c r="AT35" s="697"/>
      <c r="AU35" s="697"/>
      <c r="AV35" s="697"/>
      <c r="AW35" s="697"/>
      <c r="AX35" s="698"/>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709"/>
      <c r="AK36" s="709"/>
      <c r="AL36" s="709"/>
      <c r="AM36" s="709"/>
      <c r="AN36" s="709"/>
      <c r="AO36" s="709"/>
      <c r="AP36" s="709"/>
      <c r="AQ36" s="709"/>
      <c r="AR36" s="709"/>
      <c r="AS36" s="709"/>
      <c r="AT36" s="709"/>
      <c r="AU36" s="709"/>
      <c r="AV36" s="709"/>
      <c r="AW36" s="709"/>
      <c r="AX36" s="710"/>
      <c r="AY36" s="216"/>
      <c r="AZ36" s="217"/>
      <c r="BA36" s="217"/>
      <c r="BB36" s="217"/>
      <c r="BC36" s="217"/>
      <c r="BD36" s="217"/>
      <c r="BE36" s="217"/>
      <c r="BF36" s="217"/>
      <c r="BG36" s="218"/>
    </row>
    <row r="37" spans="2:65" ht="4.9000000000000004" customHeight="1" thickTop="1"/>
  </sheetData>
  <sheetProtection algorithmName="SHA-512" hashValue="CNetNafB9I5bo3yG5cQVGirjcDr0EYaV1FzOedI6AH7yUmNTBVTFVAuGDfFxgDOM+nO7fUGrOrzw1stM4uHN1A==" saltValue="2Tyl5IfGU66VeXmvwLXCog==" spinCount="100000" sheet="1" objects="1" scenarios="1"/>
  <mergeCells count="83">
    <mergeCell ref="K28:S28"/>
    <mergeCell ref="K30:S30"/>
    <mergeCell ref="B18:J18"/>
    <mergeCell ref="B21:J22"/>
    <mergeCell ref="B19:F19"/>
    <mergeCell ref="G19:J19"/>
    <mergeCell ref="B20:J20"/>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T18:AB19"/>
    <mergeCell ref="AC18:AX18"/>
    <mergeCell ref="AC19:AN19"/>
    <mergeCell ref="AO19:AX19"/>
    <mergeCell ref="AC25:AN25"/>
    <mergeCell ref="AO25:AX25"/>
    <mergeCell ref="T20:AB20"/>
    <mergeCell ref="AC20:AN20"/>
    <mergeCell ref="AO20:AX20"/>
    <mergeCell ref="AC21:AN21"/>
    <mergeCell ref="AO21:AX21"/>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AO4:AX4"/>
    <mergeCell ref="T9:AB9"/>
    <mergeCell ref="AC9:AN9"/>
    <mergeCell ref="AO9:AX9"/>
    <mergeCell ref="T10:AB10"/>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dimension ref="B1:BV37"/>
  <sheetViews>
    <sheetView zoomScaleNormal="100" workbookViewId="0">
      <selection activeCell="BO2" sqref="BO2:BP4"/>
    </sheetView>
  </sheetViews>
  <sheetFormatPr baseColWidth="10" defaultColWidth="2.453125" defaultRowHeight="14.5"/>
  <cols>
    <col min="1" max="1" width="1.1796875" style="219" customWidth="1"/>
    <col min="2" max="2" width="1.453125" style="219" customWidth="1"/>
    <col min="3" max="6" width="2.81640625" style="219" customWidth="1"/>
    <col min="7" max="8" width="4" style="219" customWidth="1"/>
    <col min="9" max="9" width="0.7265625" style="219" customWidth="1"/>
    <col min="10" max="10" width="1.453125" style="219" customWidth="1"/>
    <col min="11" max="15" width="2.81640625" style="219" customWidth="1"/>
    <col min="16" max="17" width="3.26953125" style="219" customWidth="1"/>
    <col min="18" max="18" width="0.7265625" style="219" customWidth="1"/>
    <col min="19" max="24" width="2.453125" style="219" customWidth="1"/>
    <col min="25" max="26" width="3.54296875" style="219" customWidth="1"/>
    <col min="27" max="27" width="0.7265625" style="219" customWidth="1"/>
    <col min="28" max="28" width="2.453125" style="219" customWidth="1"/>
    <col min="29" max="50" width="1.7265625" style="219" customWidth="1"/>
    <col min="51" max="55" width="2.453125" style="219" customWidth="1"/>
    <col min="56" max="57" width="3.453125" style="219" customWidth="1"/>
    <col min="58" max="58" width="2.453125" style="219" customWidth="1"/>
    <col min="59" max="59" width="0.7265625" style="219" customWidth="1"/>
    <col min="60" max="60" width="1.1796875" style="219" customWidth="1"/>
    <col min="61" max="61" width="2.453125" style="219" hidden="1" customWidth="1"/>
    <col min="62" max="62" width="14.1796875" style="220" hidden="1" customWidth="1"/>
    <col min="63" max="63" width="16.7265625" style="221" hidden="1" customWidth="1"/>
    <col min="64" max="64" width="14.1796875" style="220" hidden="1" customWidth="1"/>
    <col min="65" max="65" width="18.81640625" style="221" hidden="1" customWidth="1"/>
    <col min="66" max="66" width="14.1796875" style="220" hidden="1" customWidth="1"/>
    <col min="67" max="167" width="14.1796875" style="219" customWidth="1"/>
    <col min="168" max="16384" width="2.453125" style="219"/>
  </cols>
  <sheetData>
    <row r="1" spans="2:74" ht="24" customHeight="1" thickBot="1">
      <c r="B1" s="711" t="str">
        <f>'Used Language'!C152</f>
        <v>Water Balance in m3/year</v>
      </c>
      <c r="C1" s="711"/>
      <c r="D1" s="711"/>
      <c r="E1" s="711"/>
      <c r="F1" s="711"/>
      <c r="G1" s="711"/>
      <c r="H1" s="711"/>
      <c r="I1" s="711"/>
      <c r="J1" s="711"/>
      <c r="K1" s="711"/>
      <c r="L1" s="711"/>
      <c r="M1" s="711"/>
      <c r="N1" s="711"/>
      <c r="O1" s="711"/>
      <c r="P1" s="711"/>
      <c r="Q1" s="711"/>
      <c r="R1" s="711"/>
      <c r="S1" s="711"/>
      <c r="T1" s="711"/>
      <c r="U1" s="711"/>
      <c r="V1" s="711"/>
      <c r="W1" s="711"/>
      <c r="X1" s="711"/>
      <c r="Y1" s="711"/>
      <c r="Z1" s="711"/>
      <c r="AA1" s="711"/>
      <c r="AB1" s="711"/>
      <c r="AC1" s="711"/>
      <c r="AD1" s="711"/>
      <c r="AE1" s="711"/>
      <c r="AF1" s="711"/>
      <c r="AG1" s="711"/>
      <c r="AH1" s="711"/>
      <c r="AI1" s="711"/>
      <c r="AJ1" s="711"/>
      <c r="AK1" s="711"/>
      <c r="AL1" s="711"/>
      <c r="AM1" s="711"/>
      <c r="AN1" s="711"/>
      <c r="AO1" s="711"/>
      <c r="AP1" s="711"/>
      <c r="AQ1" s="711"/>
      <c r="AR1" s="711"/>
      <c r="AS1" s="711"/>
      <c r="AT1" s="711"/>
      <c r="AU1" s="711"/>
      <c r="AV1" s="711"/>
      <c r="AW1" s="711"/>
      <c r="AX1" s="711"/>
      <c r="AY1" s="711"/>
      <c r="AZ1" s="711"/>
      <c r="BA1" s="711"/>
      <c r="BB1" s="711"/>
      <c r="BC1" s="711"/>
      <c r="BD1" s="711"/>
      <c r="BE1" s="711"/>
      <c r="BF1" s="711"/>
      <c r="BG1" s="711"/>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54" t="str">
        <f>'Used Language'!C128</f>
        <v>Home</v>
      </c>
      <c r="BP2" s="555"/>
    </row>
    <row r="3" spans="2:74" ht="13.5" customHeight="1">
      <c r="B3" s="228"/>
      <c r="C3" s="190"/>
      <c r="D3" s="190"/>
      <c r="E3" s="190"/>
      <c r="F3" s="190"/>
      <c r="G3" s="190"/>
      <c r="H3" s="190"/>
      <c r="I3" s="190"/>
      <c r="J3" s="191"/>
      <c r="K3" s="189"/>
      <c r="L3" s="190"/>
      <c r="M3" s="190"/>
      <c r="N3" s="190"/>
      <c r="O3" s="190"/>
      <c r="P3" s="190"/>
      <c r="Q3" s="190"/>
      <c r="R3" s="190"/>
      <c r="S3" s="191"/>
      <c r="T3" s="650" t="str">
        <f>'Used Language'!$C$19</f>
        <v>Billed Authorized Consumption</v>
      </c>
      <c r="U3" s="651"/>
      <c r="V3" s="651"/>
      <c r="W3" s="651"/>
      <c r="X3" s="651"/>
      <c r="Y3" s="651"/>
      <c r="Z3" s="651"/>
      <c r="AA3" s="651"/>
      <c r="AB3" s="652"/>
      <c r="AC3" s="646" t="str">
        <f>'Used Language'!$C$23</f>
        <v>Billed Metered Consumption</v>
      </c>
      <c r="AD3" s="647"/>
      <c r="AE3" s="647"/>
      <c r="AF3" s="647"/>
      <c r="AG3" s="647"/>
      <c r="AH3" s="647"/>
      <c r="AI3" s="647"/>
      <c r="AJ3" s="647"/>
      <c r="AK3" s="647"/>
      <c r="AL3" s="647"/>
      <c r="AM3" s="647"/>
      <c r="AN3" s="647"/>
      <c r="AO3" s="647"/>
      <c r="AP3" s="647"/>
      <c r="AQ3" s="647"/>
      <c r="AR3" s="647"/>
      <c r="AS3" s="647"/>
      <c r="AT3" s="647"/>
      <c r="AU3" s="647"/>
      <c r="AV3" s="647"/>
      <c r="AW3" s="647"/>
      <c r="AX3" s="648"/>
      <c r="AY3" s="650" t="str">
        <f>'Used Language'!$C$28</f>
        <v>Revenue Water</v>
      </c>
      <c r="AZ3" s="651"/>
      <c r="BA3" s="651"/>
      <c r="BB3" s="651"/>
      <c r="BC3" s="651"/>
      <c r="BD3" s="651"/>
      <c r="BE3" s="651"/>
      <c r="BF3" s="651"/>
      <c r="BG3" s="653"/>
      <c r="BO3" s="557"/>
      <c r="BP3" s="558"/>
    </row>
    <row r="4" spans="2:74" ht="13.5" customHeight="1" thickBot="1">
      <c r="B4" s="228"/>
      <c r="C4" s="190"/>
      <c r="D4" s="190"/>
      <c r="E4" s="190"/>
      <c r="F4" s="190"/>
      <c r="G4" s="190"/>
      <c r="H4" s="190"/>
      <c r="I4" s="190"/>
      <c r="J4" s="191"/>
      <c r="K4" s="189"/>
      <c r="L4" s="190"/>
      <c r="M4" s="190"/>
      <c r="N4" s="190"/>
      <c r="O4" s="190"/>
      <c r="P4" s="190"/>
      <c r="Q4" s="190"/>
      <c r="R4" s="190"/>
      <c r="S4" s="191"/>
      <c r="T4" s="650"/>
      <c r="U4" s="651"/>
      <c r="V4" s="651"/>
      <c r="W4" s="651"/>
      <c r="X4" s="651"/>
      <c r="Y4" s="651"/>
      <c r="Z4" s="651"/>
      <c r="AA4" s="651"/>
      <c r="AB4" s="652"/>
      <c r="AC4" s="642">
        <f>IF(Start!M21&gt;364,'Billed Cons'!D28,'Water Balance m3day'!AC4*365)</f>
        <v>0</v>
      </c>
      <c r="AD4" s="643"/>
      <c r="AE4" s="643"/>
      <c r="AF4" s="643"/>
      <c r="AG4" s="643"/>
      <c r="AH4" s="643"/>
      <c r="AI4" s="643"/>
      <c r="AJ4" s="643"/>
      <c r="AK4" s="643"/>
      <c r="AL4" s="643"/>
      <c r="AM4" s="643"/>
      <c r="AN4" s="643"/>
      <c r="AO4" s="644" t="s">
        <v>1064</v>
      </c>
      <c r="AP4" s="644"/>
      <c r="AQ4" s="644"/>
      <c r="AR4" s="644"/>
      <c r="AS4" s="644"/>
      <c r="AT4" s="644"/>
      <c r="AU4" s="644"/>
      <c r="AV4" s="644"/>
      <c r="AW4" s="644"/>
      <c r="AX4" s="645"/>
      <c r="AY4" s="650"/>
      <c r="AZ4" s="651"/>
      <c r="BA4" s="651"/>
      <c r="BB4" s="651"/>
      <c r="BC4" s="651"/>
      <c r="BD4" s="651"/>
      <c r="BE4" s="651"/>
      <c r="BF4" s="651"/>
      <c r="BG4" s="653"/>
      <c r="BO4" s="557"/>
      <c r="BP4" s="558"/>
    </row>
    <row r="5" spans="2:74" ht="13.5" customHeight="1" thickTop="1">
      <c r="B5" s="228"/>
      <c r="C5" s="190"/>
      <c r="D5" s="190"/>
      <c r="E5" s="190"/>
      <c r="F5" s="190"/>
      <c r="G5" s="190"/>
      <c r="H5" s="190"/>
      <c r="I5" s="190"/>
      <c r="J5" s="191"/>
      <c r="K5" s="189"/>
      <c r="L5" s="190"/>
      <c r="M5" s="190"/>
      <c r="N5" s="190"/>
      <c r="O5" s="190"/>
      <c r="P5" s="190"/>
      <c r="Q5" s="190"/>
      <c r="R5" s="190"/>
      <c r="S5" s="191"/>
      <c r="T5" s="650"/>
      <c r="U5" s="651"/>
      <c r="V5" s="651"/>
      <c r="W5" s="651"/>
      <c r="X5" s="651"/>
      <c r="Y5" s="651"/>
      <c r="Z5" s="651"/>
      <c r="AA5" s="651"/>
      <c r="AB5" s="652"/>
      <c r="AC5" s="236"/>
      <c r="AD5" s="237"/>
      <c r="AE5" s="237"/>
      <c r="AF5" s="237"/>
      <c r="AG5" s="237"/>
      <c r="AH5" s="237"/>
      <c r="AI5" s="237"/>
      <c r="AJ5" s="237"/>
      <c r="AK5" s="237"/>
      <c r="AL5" s="237"/>
      <c r="AM5" s="237"/>
      <c r="AN5" s="237"/>
      <c r="AO5" s="238"/>
      <c r="AP5" s="238"/>
      <c r="AQ5" s="238"/>
      <c r="AR5" s="238"/>
      <c r="AS5" s="238"/>
      <c r="AT5" s="238"/>
      <c r="AU5" s="238"/>
      <c r="AV5" s="238"/>
      <c r="AW5" s="238"/>
      <c r="AX5" s="239"/>
      <c r="AY5" s="650"/>
      <c r="AZ5" s="651"/>
      <c r="BA5" s="651"/>
      <c r="BB5" s="651"/>
      <c r="BC5" s="651"/>
      <c r="BD5" s="651"/>
      <c r="BE5" s="651"/>
      <c r="BF5" s="651"/>
      <c r="BG5" s="653"/>
      <c r="BN5" s="631" t="str">
        <f>'Used Language'!C128</f>
        <v>Home</v>
      </c>
      <c r="BO5" s="633"/>
      <c r="BP5" s="633"/>
      <c r="BQ5" s="633"/>
      <c r="BR5" s="633"/>
      <c r="BS5" s="633"/>
      <c r="BT5" s="633"/>
      <c r="BU5" s="633"/>
      <c r="BV5" s="634"/>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638"/>
      <c r="AD6" s="639"/>
      <c r="AE6" s="639"/>
      <c r="AF6" s="639"/>
      <c r="AG6" s="639"/>
      <c r="AH6" s="639"/>
      <c r="AI6" s="639"/>
      <c r="AJ6" s="639"/>
      <c r="AK6" s="639"/>
      <c r="AL6" s="639"/>
      <c r="AM6" s="639"/>
      <c r="AN6" s="639"/>
      <c r="AO6" s="640"/>
      <c r="AP6" s="640"/>
      <c r="AQ6" s="640"/>
      <c r="AR6" s="640"/>
      <c r="AS6" s="640"/>
      <c r="AT6" s="640"/>
      <c r="AU6" s="640"/>
      <c r="AV6" s="640"/>
      <c r="AW6" s="640"/>
      <c r="AX6" s="641"/>
      <c r="AY6" s="189"/>
      <c r="AZ6" s="190"/>
      <c r="BA6" s="190"/>
      <c r="BB6" s="190"/>
      <c r="BC6" s="190"/>
      <c r="BD6" s="190"/>
      <c r="BE6" s="190"/>
      <c r="BF6" s="190"/>
      <c r="BG6" s="240"/>
      <c r="BN6" s="635"/>
      <c r="BO6" s="636"/>
      <c r="BP6" s="636"/>
      <c r="BQ6" s="636"/>
      <c r="BR6" s="636"/>
      <c r="BS6" s="636"/>
      <c r="BT6" s="636"/>
      <c r="BU6" s="636"/>
      <c r="BV6" s="637"/>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642">
        <f>AC4+AC9</f>
        <v>0</v>
      </c>
      <c r="U8" s="643"/>
      <c r="V8" s="643"/>
      <c r="W8" s="643"/>
      <c r="X8" s="643"/>
      <c r="Y8" s="644" t="str">
        <f>'Used Language'!$C$151</f>
        <v>m3/year</v>
      </c>
      <c r="Z8" s="644"/>
      <c r="AA8" s="644"/>
      <c r="AB8" s="645"/>
      <c r="AC8" s="646" t="str">
        <f>'Used Language'!$C$24</f>
        <v>Billed Unmetered Consumption</v>
      </c>
      <c r="AD8" s="647"/>
      <c r="AE8" s="647"/>
      <c r="AF8" s="647"/>
      <c r="AG8" s="647"/>
      <c r="AH8" s="647"/>
      <c r="AI8" s="647"/>
      <c r="AJ8" s="647"/>
      <c r="AK8" s="647"/>
      <c r="AL8" s="647"/>
      <c r="AM8" s="647"/>
      <c r="AN8" s="647"/>
      <c r="AO8" s="647"/>
      <c r="AP8" s="647"/>
      <c r="AQ8" s="647"/>
      <c r="AR8" s="647"/>
      <c r="AS8" s="647"/>
      <c r="AT8" s="647"/>
      <c r="AU8" s="647"/>
      <c r="AV8" s="647"/>
      <c r="AW8" s="647"/>
      <c r="AX8" s="648"/>
      <c r="AY8" s="642">
        <f>T8</f>
        <v>0</v>
      </c>
      <c r="AZ8" s="643"/>
      <c r="BA8" s="643"/>
      <c r="BB8" s="643"/>
      <c r="BC8" s="643"/>
      <c r="BD8" s="644" t="str">
        <f>'Used Language'!$C$151</f>
        <v>m3/year</v>
      </c>
      <c r="BE8" s="644"/>
      <c r="BF8" s="644"/>
      <c r="BG8" s="649"/>
    </row>
    <row r="9" spans="2:74" ht="13.5" customHeight="1">
      <c r="B9" s="228"/>
      <c r="C9" s="190"/>
      <c r="D9" s="190"/>
      <c r="E9" s="190"/>
      <c r="F9" s="190"/>
      <c r="G9" s="190"/>
      <c r="H9" s="190"/>
      <c r="I9" s="190"/>
      <c r="J9" s="191"/>
      <c r="K9" s="654" t="str">
        <f>'Used Language'!$C$17</f>
        <v>Authorized Consumption</v>
      </c>
      <c r="L9" s="655"/>
      <c r="M9" s="655"/>
      <c r="N9" s="655"/>
      <c r="O9" s="655"/>
      <c r="P9" s="655"/>
      <c r="Q9" s="655"/>
      <c r="R9" s="655"/>
      <c r="S9" s="656"/>
      <c r="T9" s="657"/>
      <c r="U9" s="658"/>
      <c r="V9" s="658"/>
      <c r="W9" s="658"/>
      <c r="X9" s="658"/>
      <c r="Y9" s="658"/>
      <c r="Z9" s="658"/>
      <c r="AA9" s="658"/>
      <c r="AB9" s="659"/>
      <c r="AC9" s="642">
        <f>IF(Start!M21&gt;364,'Billed Cons'!H28,'Water Balance m3day'!AC9*365)</f>
        <v>0</v>
      </c>
      <c r="AD9" s="643"/>
      <c r="AE9" s="643"/>
      <c r="AF9" s="643"/>
      <c r="AG9" s="643"/>
      <c r="AH9" s="643"/>
      <c r="AI9" s="643"/>
      <c r="AJ9" s="643"/>
      <c r="AK9" s="643"/>
      <c r="AL9" s="643"/>
      <c r="AM9" s="643"/>
      <c r="AN9" s="643"/>
      <c r="AO9" s="644" t="s">
        <v>1064</v>
      </c>
      <c r="AP9" s="644"/>
      <c r="AQ9" s="644"/>
      <c r="AR9" s="644"/>
      <c r="AS9" s="644"/>
      <c r="AT9" s="644"/>
      <c r="AU9" s="644"/>
      <c r="AV9" s="644"/>
      <c r="AW9" s="644"/>
      <c r="AX9" s="645"/>
      <c r="AY9" s="189"/>
      <c r="AZ9" s="190"/>
      <c r="BA9" s="190"/>
      <c r="BB9" s="190"/>
      <c r="BC9" s="190"/>
      <c r="BD9" s="190"/>
      <c r="BE9" s="190"/>
      <c r="BF9" s="190"/>
      <c r="BG9" s="240"/>
    </row>
    <row r="10" spans="2:74" ht="13.5" customHeight="1">
      <c r="B10" s="228"/>
      <c r="C10" s="190"/>
      <c r="D10" s="190"/>
      <c r="E10" s="190"/>
      <c r="F10" s="190"/>
      <c r="G10" s="190"/>
      <c r="H10" s="190"/>
      <c r="I10" s="190"/>
      <c r="J10" s="191"/>
      <c r="K10" s="654"/>
      <c r="L10" s="655"/>
      <c r="M10" s="655"/>
      <c r="N10" s="655"/>
      <c r="O10" s="655"/>
      <c r="P10" s="655"/>
      <c r="Q10" s="655"/>
      <c r="R10" s="655"/>
      <c r="S10" s="656"/>
      <c r="T10" s="660"/>
      <c r="U10" s="661"/>
      <c r="V10" s="661"/>
      <c r="W10" s="661"/>
      <c r="X10" s="661"/>
      <c r="Y10" s="661"/>
      <c r="Z10" s="661"/>
      <c r="AA10" s="661"/>
      <c r="AB10" s="662"/>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54"/>
      <c r="L11" s="655"/>
      <c r="M11" s="655"/>
      <c r="N11" s="655"/>
      <c r="O11" s="655"/>
      <c r="P11" s="655"/>
      <c r="Q11" s="655"/>
      <c r="R11" s="655"/>
      <c r="S11" s="656"/>
      <c r="T11" s="192"/>
      <c r="U11" s="193"/>
      <c r="V11" s="193"/>
      <c r="W11" s="193"/>
      <c r="X11" s="193"/>
      <c r="Y11" s="193"/>
      <c r="Z11" s="193"/>
      <c r="AA11" s="193"/>
      <c r="AB11" s="194"/>
      <c r="AC11" s="638"/>
      <c r="AD11" s="639"/>
      <c r="AE11" s="639"/>
      <c r="AF11" s="639"/>
      <c r="AG11" s="639"/>
      <c r="AH11" s="639"/>
      <c r="AI11" s="639"/>
      <c r="AJ11" s="639"/>
      <c r="AK11" s="639"/>
      <c r="AL11" s="639"/>
      <c r="AM11" s="639"/>
      <c r="AN11" s="639"/>
      <c r="AO11" s="640"/>
      <c r="AP11" s="640"/>
      <c r="AQ11" s="640"/>
      <c r="AR11" s="640"/>
      <c r="AS11" s="640"/>
      <c r="AT11" s="640"/>
      <c r="AU11" s="640"/>
      <c r="AV11" s="640"/>
      <c r="AW11" s="640"/>
      <c r="AX11" s="641"/>
      <c r="AY11" s="192"/>
      <c r="AZ11" s="193"/>
      <c r="BA11" s="193"/>
      <c r="BB11" s="193"/>
      <c r="BC11" s="193"/>
      <c r="BD11" s="193"/>
      <c r="BE11" s="193"/>
      <c r="BF11" s="193"/>
      <c r="BG11" s="241"/>
    </row>
    <row r="12" spans="2:74" ht="6" customHeight="1">
      <c r="B12" s="228"/>
      <c r="C12" s="190"/>
      <c r="D12" s="190"/>
      <c r="E12" s="190"/>
      <c r="F12" s="190"/>
      <c r="G12" s="190"/>
      <c r="H12" s="190"/>
      <c r="I12" s="190"/>
      <c r="J12" s="191"/>
      <c r="K12" s="663">
        <f>T8+T16</f>
        <v>0</v>
      </c>
      <c r="L12" s="664"/>
      <c r="M12" s="664"/>
      <c r="N12" s="664"/>
      <c r="O12" s="664"/>
      <c r="P12" s="644" t="s">
        <v>1064</v>
      </c>
      <c r="Q12" s="644"/>
      <c r="R12" s="644"/>
      <c r="S12" s="645"/>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63"/>
      <c r="L13" s="664"/>
      <c r="M13" s="664"/>
      <c r="N13" s="664"/>
      <c r="O13" s="664"/>
      <c r="P13" s="644"/>
      <c r="Q13" s="644"/>
      <c r="R13" s="644"/>
      <c r="S13" s="645"/>
      <c r="T13" s="665" t="str">
        <f>'Used Language'!$C$20</f>
        <v>Unbilled Authorized Consumption</v>
      </c>
      <c r="U13" s="666"/>
      <c r="V13" s="666"/>
      <c r="W13" s="666"/>
      <c r="X13" s="666"/>
      <c r="Y13" s="666"/>
      <c r="Z13" s="666"/>
      <c r="AA13" s="666"/>
      <c r="AB13" s="667"/>
      <c r="AC13" s="669" t="str">
        <f>'Used Language'!$C$25</f>
        <v>Unbilled Metered Consumption</v>
      </c>
      <c r="AD13" s="670"/>
      <c r="AE13" s="670"/>
      <c r="AF13" s="670"/>
      <c r="AG13" s="670"/>
      <c r="AH13" s="670"/>
      <c r="AI13" s="670"/>
      <c r="AJ13" s="670"/>
      <c r="AK13" s="670"/>
      <c r="AL13" s="670"/>
      <c r="AM13" s="670"/>
      <c r="AN13" s="670"/>
      <c r="AO13" s="670"/>
      <c r="AP13" s="670"/>
      <c r="AQ13" s="670"/>
      <c r="AR13" s="670"/>
      <c r="AS13" s="670"/>
      <c r="AT13" s="670"/>
      <c r="AU13" s="670"/>
      <c r="AV13" s="670"/>
      <c r="AW13" s="670"/>
      <c r="AX13" s="671"/>
      <c r="AY13" s="198"/>
      <c r="AZ13" s="199"/>
      <c r="BA13" s="199"/>
      <c r="BB13" s="199"/>
      <c r="BC13" s="199"/>
      <c r="BD13" s="199"/>
      <c r="BE13" s="199"/>
      <c r="BF13" s="199"/>
      <c r="BG13" s="209"/>
    </row>
    <row r="14" spans="2:74" ht="13.5" customHeight="1">
      <c r="B14" s="228"/>
      <c r="C14" s="190"/>
      <c r="D14" s="190"/>
      <c r="E14" s="190"/>
      <c r="F14" s="190"/>
      <c r="G14" s="190"/>
      <c r="H14" s="190"/>
      <c r="I14" s="190"/>
      <c r="J14" s="191"/>
      <c r="K14" s="672" t="str">
        <f>'Used Language'!$C$30</f>
        <v>Error Margin [+/-]:</v>
      </c>
      <c r="L14" s="673"/>
      <c r="M14" s="673"/>
      <c r="N14" s="673"/>
      <c r="O14" s="673"/>
      <c r="P14" s="673"/>
      <c r="Q14" s="673"/>
      <c r="R14" s="673"/>
      <c r="S14" s="674"/>
      <c r="T14" s="668"/>
      <c r="U14" s="666"/>
      <c r="V14" s="666"/>
      <c r="W14" s="666"/>
      <c r="X14" s="666"/>
      <c r="Y14" s="666"/>
      <c r="Z14" s="666"/>
      <c r="AA14" s="666"/>
      <c r="AB14" s="667"/>
      <c r="AC14" s="675">
        <f>IF(Start!M21&gt;364,'Unb. Cons.'!D32,'Water Balance m3day'!AC14*365)</f>
        <v>0</v>
      </c>
      <c r="AD14" s="676"/>
      <c r="AE14" s="676"/>
      <c r="AF14" s="676"/>
      <c r="AG14" s="676"/>
      <c r="AH14" s="676"/>
      <c r="AI14" s="676"/>
      <c r="AJ14" s="676"/>
      <c r="AK14" s="676"/>
      <c r="AL14" s="676"/>
      <c r="AM14" s="676"/>
      <c r="AN14" s="676"/>
      <c r="AO14" s="677" t="s">
        <v>1064</v>
      </c>
      <c r="AP14" s="677"/>
      <c r="AQ14" s="677"/>
      <c r="AR14" s="677"/>
      <c r="AS14" s="677"/>
      <c r="AT14" s="677"/>
      <c r="AU14" s="677"/>
      <c r="AV14" s="677"/>
      <c r="AW14" s="677"/>
      <c r="AX14" s="678"/>
      <c r="AY14" s="198"/>
      <c r="AZ14" s="199"/>
      <c r="BA14" s="199"/>
      <c r="BB14" s="199"/>
      <c r="BC14" s="199"/>
      <c r="BD14" s="199"/>
      <c r="BE14" s="199"/>
      <c r="BF14" s="199"/>
      <c r="BG14" s="209"/>
    </row>
    <row r="15" spans="2:74" ht="13.5" customHeight="1">
      <c r="B15" s="228"/>
      <c r="C15" s="190"/>
      <c r="D15" s="190"/>
      <c r="E15" s="190"/>
      <c r="F15" s="190"/>
      <c r="G15" s="190"/>
      <c r="H15" s="190"/>
      <c r="I15" s="190"/>
      <c r="J15" s="191"/>
      <c r="K15" s="660">
        <f>'Water Balance m3day'!K15:S15</f>
        <v>0</v>
      </c>
      <c r="L15" s="661"/>
      <c r="M15" s="661"/>
      <c r="N15" s="661"/>
      <c r="O15" s="661"/>
      <c r="P15" s="661"/>
      <c r="Q15" s="661"/>
      <c r="R15" s="661"/>
      <c r="S15" s="662"/>
      <c r="T15" s="668"/>
      <c r="U15" s="666"/>
      <c r="V15" s="666"/>
      <c r="W15" s="666"/>
      <c r="X15" s="666"/>
      <c r="Y15" s="666"/>
      <c r="Z15" s="666"/>
      <c r="AA15" s="666"/>
      <c r="AB15" s="667"/>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75">
        <f>AC14+AC19</f>
        <v>0</v>
      </c>
      <c r="U16" s="676"/>
      <c r="V16" s="676"/>
      <c r="W16" s="676"/>
      <c r="X16" s="676"/>
      <c r="Y16" s="677" t="s">
        <v>1064</v>
      </c>
      <c r="Z16" s="677"/>
      <c r="AA16" s="677"/>
      <c r="AB16" s="678"/>
      <c r="AC16" s="684"/>
      <c r="AD16" s="685"/>
      <c r="AE16" s="685"/>
      <c r="AF16" s="685"/>
      <c r="AG16" s="685"/>
      <c r="AH16" s="685"/>
      <c r="AI16" s="685"/>
      <c r="AJ16" s="685"/>
      <c r="AK16" s="685"/>
      <c r="AL16" s="685"/>
      <c r="AM16" s="685"/>
      <c r="AN16" s="685"/>
      <c r="AO16" s="686"/>
      <c r="AP16" s="686"/>
      <c r="AQ16" s="686"/>
      <c r="AR16" s="686"/>
      <c r="AS16" s="686"/>
      <c r="AT16" s="686"/>
      <c r="AU16" s="686"/>
      <c r="AV16" s="686"/>
      <c r="AW16" s="686"/>
      <c r="AX16" s="687"/>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75"/>
      <c r="U17" s="676"/>
      <c r="V17" s="676"/>
      <c r="W17" s="676"/>
      <c r="X17" s="676"/>
      <c r="Y17" s="677"/>
      <c r="Z17" s="677"/>
      <c r="AA17" s="677"/>
      <c r="AB17" s="678"/>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8" t="str">
        <f>'Used Language'!C16</f>
        <v>System Input Volume</v>
      </c>
      <c r="C18" s="651"/>
      <c r="D18" s="651"/>
      <c r="E18" s="651"/>
      <c r="F18" s="651"/>
      <c r="G18" s="651"/>
      <c r="H18" s="651"/>
      <c r="I18" s="651"/>
      <c r="J18" s="652"/>
      <c r="K18" s="189"/>
      <c r="L18" s="190"/>
      <c r="M18" s="190"/>
      <c r="N18" s="190"/>
      <c r="O18" s="190"/>
      <c r="P18" s="190"/>
      <c r="Q18" s="190"/>
      <c r="R18" s="190"/>
      <c r="S18" s="191"/>
      <c r="T18" s="689" t="str">
        <f>'Used Language'!$C$30</f>
        <v>Error Margin [+/-]:</v>
      </c>
      <c r="U18" s="690"/>
      <c r="V18" s="690"/>
      <c r="W18" s="690"/>
      <c r="X18" s="690"/>
      <c r="Y18" s="690"/>
      <c r="Z18" s="690"/>
      <c r="AA18" s="690"/>
      <c r="AB18" s="691"/>
      <c r="AC18" s="669" t="str">
        <f>'Used Language'!$C$26</f>
        <v>Unbilled Unmetered Consumption</v>
      </c>
      <c r="AD18" s="670"/>
      <c r="AE18" s="670"/>
      <c r="AF18" s="670"/>
      <c r="AG18" s="670"/>
      <c r="AH18" s="670"/>
      <c r="AI18" s="670"/>
      <c r="AJ18" s="670"/>
      <c r="AK18" s="670"/>
      <c r="AL18" s="670"/>
      <c r="AM18" s="670"/>
      <c r="AN18" s="670"/>
      <c r="AO18" s="670"/>
      <c r="AP18" s="670"/>
      <c r="AQ18" s="670"/>
      <c r="AR18" s="670"/>
      <c r="AS18" s="670"/>
      <c r="AT18" s="670"/>
      <c r="AU18" s="670"/>
      <c r="AV18" s="670"/>
      <c r="AW18" s="670"/>
      <c r="AX18" s="671"/>
      <c r="AY18" s="198"/>
      <c r="AZ18" s="199"/>
      <c r="BA18" s="199"/>
      <c r="BB18" s="199"/>
      <c r="BC18" s="199"/>
      <c r="BD18" s="199"/>
      <c r="BE18" s="199"/>
      <c r="BF18" s="199"/>
      <c r="BG18" s="209"/>
    </row>
    <row r="19" spans="2:65" ht="13.5" customHeight="1">
      <c r="B19" s="692">
        <f>IF(Start!M21&gt;364,'Sys. Input'!D79,'Water Balance m3day'!B19*365)</f>
        <v>0</v>
      </c>
      <c r="C19" s="643"/>
      <c r="D19" s="643"/>
      <c r="E19" s="643"/>
      <c r="F19" s="643"/>
      <c r="G19" s="644" t="str">
        <f>'Used Language'!$C$151</f>
        <v>m3/year</v>
      </c>
      <c r="H19" s="644"/>
      <c r="I19" s="644"/>
      <c r="J19" s="645"/>
      <c r="K19" s="189"/>
      <c r="L19" s="190"/>
      <c r="M19" s="190"/>
      <c r="N19" s="190"/>
      <c r="O19" s="190"/>
      <c r="P19" s="190"/>
      <c r="Q19" s="190"/>
      <c r="R19" s="190"/>
      <c r="S19" s="191"/>
      <c r="T19" s="689"/>
      <c r="U19" s="690"/>
      <c r="V19" s="690"/>
      <c r="W19" s="690"/>
      <c r="X19" s="690"/>
      <c r="Y19" s="690"/>
      <c r="Z19" s="690"/>
      <c r="AA19" s="690"/>
      <c r="AB19" s="691"/>
      <c r="AC19" s="675">
        <f>IF(Start!M21&gt;364,'Unb. Cons.'!H32,'Water Balance m3day'!AC19*365)</f>
        <v>0</v>
      </c>
      <c r="AD19" s="676"/>
      <c r="AE19" s="676"/>
      <c r="AF19" s="676"/>
      <c r="AG19" s="676"/>
      <c r="AH19" s="676"/>
      <c r="AI19" s="676"/>
      <c r="AJ19" s="676"/>
      <c r="AK19" s="676"/>
      <c r="AL19" s="676"/>
      <c r="AM19" s="676"/>
      <c r="AN19" s="676"/>
      <c r="AO19" s="677" t="s">
        <v>1064</v>
      </c>
      <c r="AP19" s="677"/>
      <c r="AQ19" s="677"/>
      <c r="AR19" s="677"/>
      <c r="AS19" s="677"/>
      <c r="AT19" s="677"/>
      <c r="AU19" s="677"/>
      <c r="AV19" s="677"/>
      <c r="AW19" s="677"/>
      <c r="AX19" s="678"/>
      <c r="AY19" s="198"/>
      <c r="AZ19" s="199"/>
      <c r="BA19" s="201"/>
      <c r="BB19" s="199"/>
      <c r="BC19" s="199"/>
      <c r="BD19" s="199"/>
      <c r="BE19" s="199"/>
      <c r="BF19" s="199"/>
      <c r="BG19" s="209"/>
    </row>
    <row r="20" spans="2:65" ht="13.5" customHeight="1">
      <c r="B20" s="693" t="str">
        <f>'Used Language'!$C$30</f>
        <v>Error Margin [+/-]:</v>
      </c>
      <c r="C20" s="673"/>
      <c r="D20" s="673"/>
      <c r="E20" s="673"/>
      <c r="F20" s="673"/>
      <c r="G20" s="673"/>
      <c r="H20" s="673"/>
      <c r="I20" s="673"/>
      <c r="J20" s="674"/>
      <c r="K20" s="189"/>
      <c r="L20" s="190"/>
      <c r="M20" s="190"/>
      <c r="N20" s="190"/>
      <c r="O20" s="190"/>
      <c r="P20" s="190"/>
      <c r="Q20" s="190"/>
      <c r="R20" s="190"/>
      <c r="S20" s="191"/>
      <c r="T20" s="694">
        <f>'Water Balance m3day'!T20:AB20</f>
        <v>0</v>
      </c>
      <c r="U20" s="695"/>
      <c r="V20" s="695"/>
      <c r="W20" s="695"/>
      <c r="X20" s="695"/>
      <c r="Y20" s="695"/>
      <c r="Z20" s="695"/>
      <c r="AA20" s="695"/>
      <c r="AB20" s="696"/>
      <c r="AC20" s="680" t="str">
        <f>'Used Language'!$C$30</f>
        <v>Error Margin [+/-]:</v>
      </c>
      <c r="AD20" s="681"/>
      <c r="AE20" s="681"/>
      <c r="AF20" s="681"/>
      <c r="AG20" s="681"/>
      <c r="AH20" s="681"/>
      <c r="AI20" s="681"/>
      <c r="AJ20" s="681"/>
      <c r="AK20" s="681"/>
      <c r="AL20" s="681"/>
      <c r="AM20" s="681"/>
      <c r="AN20" s="681"/>
      <c r="AO20" s="697">
        <f>'Water Balance m3day'!AO20:AX20</f>
        <v>0</v>
      </c>
      <c r="AP20" s="697"/>
      <c r="AQ20" s="697"/>
      <c r="AR20" s="697"/>
      <c r="AS20" s="697"/>
      <c r="AT20" s="697"/>
      <c r="AU20" s="697"/>
      <c r="AV20" s="697"/>
      <c r="AW20" s="697"/>
      <c r="AX20" s="698"/>
      <c r="AY20" s="198"/>
      <c r="AZ20" s="199"/>
      <c r="BA20" s="199"/>
      <c r="BB20" s="199"/>
      <c r="BC20" s="199"/>
      <c r="BD20" s="199"/>
      <c r="BE20" s="199"/>
      <c r="BF20" s="199"/>
      <c r="BG20" s="209"/>
    </row>
    <row r="21" spans="2:65" ht="6" customHeight="1">
      <c r="B21" s="679">
        <f>'Sys. Input'!F72</f>
        <v>0</v>
      </c>
      <c r="C21" s="661"/>
      <c r="D21" s="661"/>
      <c r="E21" s="661"/>
      <c r="F21" s="661"/>
      <c r="G21" s="661"/>
      <c r="H21" s="661"/>
      <c r="I21" s="661"/>
      <c r="J21" s="662"/>
      <c r="K21" s="192"/>
      <c r="L21" s="193"/>
      <c r="M21" s="193"/>
      <c r="N21" s="193"/>
      <c r="O21" s="193"/>
      <c r="P21" s="193"/>
      <c r="Q21" s="193"/>
      <c r="R21" s="193"/>
      <c r="S21" s="194"/>
      <c r="T21" s="202"/>
      <c r="U21" s="203"/>
      <c r="V21" s="203"/>
      <c r="W21" s="203"/>
      <c r="X21" s="203"/>
      <c r="Y21" s="203"/>
      <c r="Z21" s="203"/>
      <c r="AA21" s="203"/>
      <c r="AB21" s="204"/>
      <c r="AC21" s="680"/>
      <c r="AD21" s="681"/>
      <c r="AE21" s="681"/>
      <c r="AF21" s="681"/>
      <c r="AG21" s="681"/>
      <c r="AH21" s="681"/>
      <c r="AI21" s="681"/>
      <c r="AJ21" s="681"/>
      <c r="AK21" s="681"/>
      <c r="AL21" s="681"/>
      <c r="AM21" s="681"/>
      <c r="AN21" s="681"/>
      <c r="AO21" s="682"/>
      <c r="AP21" s="682"/>
      <c r="AQ21" s="682"/>
      <c r="AR21" s="682"/>
      <c r="AS21" s="682"/>
      <c r="AT21" s="682"/>
      <c r="AU21" s="682"/>
      <c r="AV21" s="682"/>
      <c r="AW21" s="682"/>
      <c r="AX21" s="683"/>
      <c r="AY21" s="699" t="str">
        <f>'Used Language'!$C$29</f>
        <v>Non-Revenue Water</v>
      </c>
      <c r="AZ21" s="700"/>
      <c r="BA21" s="700"/>
      <c r="BB21" s="700"/>
      <c r="BC21" s="700"/>
      <c r="BD21" s="700"/>
      <c r="BE21" s="700"/>
      <c r="BF21" s="700"/>
      <c r="BG21" s="719"/>
    </row>
    <row r="22" spans="2:65" ht="6" customHeight="1">
      <c r="B22" s="679"/>
      <c r="C22" s="661"/>
      <c r="D22" s="661"/>
      <c r="E22" s="661"/>
      <c r="F22" s="661"/>
      <c r="G22" s="661"/>
      <c r="H22" s="661"/>
      <c r="I22" s="661"/>
      <c r="J22" s="662"/>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99"/>
      <c r="AZ22" s="700"/>
      <c r="BA22" s="700"/>
      <c r="BB22" s="700"/>
      <c r="BC22" s="700"/>
      <c r="BD22" s="700"/>
      <c r="BE22" s="700"/>
      <c r="BF22" s="700"/>
      <c r="BG22" s="719"/>
    </row>
    <row r="23" spans="2:65" ht="13.15" customHeight="1">
      <c r="B23" s="229"/>
      <c r="C23" s="230"/>
      <c r="D23" s="230"/>
      <c r="E23" s="230"/>
      <c r="F23" s="230"/>
      <c r="G23" s="230"/>
      <c r="H23" s="230"/>
      <c r="I23" s="230"/>
      <c r="J23" s="231"/>
      <c r="K23" s="198"/>
      <c r="L23" s="199"/>
      <c r="M23" s="199"/>
      <c r="N23" s="199"/>
      <c r="O23" s="199"/>
      <c r="P23" s="199"/>
      <c r="Q23" s="199"/>
      <c r="R23" s="199"/>
      <c r="S23" s="200"/>
      <c r="T23" s="699" t="str">
        <f>'Used Language'!$C$21</f>
        <v>Commercial Losses</v>
      </c>
      <c r="U23" s="700"/>
      <c r="V23" s="700"/>
      <c r="W23" s="700"/>
      <c r="X23" s="700"/>
      <c r="Y23" s="700"/>
      <c r="Z23" s="700"/>
      <c r="AA23" s="700"/>
      <c r="AB23" s="701"/>
      <c r="AC23" s="669" t="str">
        <f>'Used Language'!C13</f>
        <v>Unauthorized Consumption</v>
      </c>
      <c r="AD23" s="670"/>
      <c r="AE23" s="670"/>
      <c r="AF23" s="670"/>
      <c r="AG23" s="670"/>
      <c r="AH23" s="670"/>
      <c r="AI23" s="670"/>
      <c r="AJ23" s="670"/>
      <c r="AK23" s="670"/>
      <c r="AL23" s="670"/>
      <c r="AM23" s="670"/>
      <c r="AN23" s="670"/>
      <c r="AO23" s="670"/>
      <c r="AP23" s="670"/>
      <c r="AQ23" s="670"/>
      <c r="AR23" s="670"/>
      <c r="AS23" s="670"/>
      <c r="AT23" s="670"/>
      <c r="AU23" s="670"/>
      <c r="AV23" s="670"/>
      <c r="AW23" s="670"/>
      <c r="AX23" s="671"/>
      <c r="AY23" s="699"/>
      <c r="AZ23" s="700"/>
      <c r="BA23" s="700"/>
      <c r="BB23" s="700"/>
      <c r="BC23" s="700"/>
      <c r="BD23" s="700"/>
      <c r="BE23" s="700"/>
      <c r="BF23" s="700"/>
      <c r="BG23" s="719"/>
    </row>
    <row r="24" spans="2:65" ht="13.5" customHeight="1">
      <c r="B24" s="229"/>
      <c r="C24" s="230"/>
      <c r="D24" s="230"/>
      <c r="E24" s="230"/>
      <c r="F24" s="230"/>
      <c r="G24" s="230"/>
      <c r="H24" s="230"/>
      <c r="I24" s="230"/>
      <c r="J24" s="231"/>
      <c r="K24" s="198"/>
      <c r="L24" s="199"/>
      <c r="M24" s="199"/>
      <c r="N24" s="199"/>
      <c r="O24" s="199"/>
      <c r="P24" s="199"/>
      <c r="Q24" s="199"/>
      <c r="R24" s="199"/>
      <c r="S24" s="200"/>
      <c r="T24" s="699"/>
      <c r="U24" s="700"/>
      <c r="V24" s="700"/>
      <c r="W24" s="700"/>
      <c r="X24" s="700"/>
      <c r="Y24" s="700"/>
      <c r="Z24" s="700"/>
      <c r="AA24" s="700"/>
      <c r="AB24" s="701"/>
      <c r="AC24" s="675">
        <f>IF(Start!M21&gt;364,'Unauth. Cons.'!L31,'Water Balance m3day'!AC24*365)</f>
        <v>0</v>
      </c>
      <c r="AD24" s="676"/>
      <c r="AE24" s="676"/>
      <c r="AF24" s="676"/>
      <c r="AG24" s="676"/>
      <c r="AH24" s="676"/>
      <c r="AI24" s="676"/>
      <c r="AJ24" s="676"/>
      <c r="AK24" s="676"/>
      <c r="AL24" s="676"/>
      <c r="AM24" s="676"/>
      <c r="AN24" s="676"/>
      <c r="AO24" s="677" t="s">
        <v>1064</v>
      </c>
      <c r="AP24" s="677"/>
      <c r="AQ24" s="677"/>
      <c r="AR24" s="677"/>
      <c r="AS24" s="677"/>
      <c r="AT24" s="677"/>
      <c r="AU24" s="677"/>
      <c r="AV24" s="677"/>
      <c r="AW24" s="677"/>
      <c r="AX24" s="678"/>
      <c r="AY24" s="675">
        <f>B19-AY8</f>
        <v>0</v>
      </c>
      <c r="AZ24" s="676"/>
      <c r="BA24" s="676"/>
      <c r="BB24" s="676"/>
      <c r="BC24" s="676"/>
      <c r="BD24" s="677" t="str">
        <f>'Used Language'!$C$151</f>
        <v>m3/year</v>
      </c>
      <c r="BE24" s="677"/>
      <c r="BF24" s="677"/>
      <c r="BG24" s="704"/>
    </row>
    <row r="25" spans="2:65" ht="13.5" customHeight="1">
      <c r="B25" s="228"/>
      <c r="C25" s="190"/>
      <c r="D25" s="190"/>
      <c r="E25" s="190"/>
      <c r="F25" s="190"/>
      <c r="G25" s="190"/>
      <c r="H25" s="190"/>
      <c r="I25" s="190"/>
      <c r="J25" s="191"/>
      <c r="K25" s="198"/>
      <c r="L25" s="199"/>
      <c r="M25" s="199"/>
      <c r="N25" s="199"/>
      <c r="O25" s="199"/>
      <c r="P25" s="199"/>
      <c r="Q25" s="199"/>
      <c r="R25" s="199"/>
      <c r="S25" s="200"/>
      <c r="T25" s="699"/>
      <c r="U25" s="700"/>
      <c r="V25" s="700"/>
      <c r="W25" s="700"/>
      <c r="X25" s="700"/>
      <c r="Y25" s="700"/>
      <c r="Z25" s="700"/>
      <c r="AA25" s="700"/>
      <c r="AB25" s="701"/>
      <c r="AC25" s="680" t="str">
        <f>'Used Language'!$C$30</f>
        <v>Error Margin [+/-]:</v>
      </c>
      <c r="AD25" s="681"/>
      <c r="AE25" s="681"/>
      <c r="AF25" s="681"/>
      <c r="AG25" s="681"/>
      <c r="AH25" s="681"/>
      <c r="AI25" s="681"/>
      <c r="AJ25" s="681"/>
      <c r="AK25" s="681"/>
      <c r="AL25" s="681"/>
      <c r="AM25" s="681"/>
      <c r="AN25" s="681"/>
      <c r="AO25" s="697">
        <f>'Water Balance m3day'!AO25:AX25</f>
        <v>0</v>
      </c>
      <c r="AP25" s="697"/>
      <c r="AQ25" s="697"/>
      <c r="AR25" s="697"/>
      <c r="AS25" s="697"/>
      <c r="AT25" s="697"/>
      <c r="AU25" s="697"/>
      <c r="AV25" s="697"/>
      <c r="AW25" s="697"/>
      <c r="AX25" s="698"/>
      <c r="AY25" s="705" t="str">
        <f>'Used Language'!$C$30</f>
        <v>Error Margin [+/-]:</v>
      </c>
      <c r="AZ25" s="706"/>
      <c r="BA25" s="706"/>
      <c r="BB25" s="706"/>
      <c r="BC25" s="706"/>
      <c r="BD25" s="706"/>
      <c r="BE25" s="706"/>
      <c r="BF25" s="706"/>
      <c r="BG25" s="707"/>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75">
        <f>AC24+AC29</f>
        <v>0</v>
      </c>
      <c r="U26" s="676"/>
      <c r="V26" s="676"/>
      <c r="W26" s="676"/>
      <c r="X26" s="676"/>
      <c r="Y26" s="677" t="s">
        <v>1064</v>
      </c>
      <c r="Z26" s="677"/>
      <c r="AA26" s="677"/>
      <c r="AB26" s="678"/>
      <c r="AC26" s="680"/>
      <c r="AD26" s="681"/>
      <c r="AE26" s="681"/>
      <c r="AF26" s="681"/>
      <c r="AG26" s="681"/>
      <c r="AH26" s="681"/>
      <c r="AI26" s="681"/>
      <c r="AJ26" s="681"/>
      <c r="AK26" s="681"/>
      <c r="AL26" s="681"/>
      <c r="AM26" s="681"/>
      <c r="AN26" s="681"/>
      <c r="AO26" s="682"/>
      <c r="AP26" s="682"/>
      <c r="AQ26" s="682"/>
      <c r="AR26" s="682"/>
      <c r="AS26" s="682"/>
      <c r="AT26" s="682"/>
      <c r="AU26" s="682"/>
      <c r="AV26" s="682"/>
      <c r="AW26" s="682"/>
      <c r="AX26" s="683"/>
      <c r="AY26" s="694">
        <f>'Water Balance m3day'!AY26:BG27</f>
        <v>0</v>
      </c>
      <c r="AZ26" s="695"/>
      <c r="BA26" s="695"/>
      <c r="BB26" s="695"/>
      <c r="BC26" s="695"/>
      <c r="BD26" s="695"/>
      <c r="BE26" s="695"/>
      <c r="BF26" s="695"/>
      <c r="BG26" s="708"/>
      <c r="BJ26" s="222"/>
    </row>
    <row r="27" spans="2:65" ht="6" customHeight="1">
      <c r="B27" s="229"/>
      <c r="C27" s="230"/>
      <c r="D27" s="230"/>
      <c r="E27" s="230"/>
      <c r="F27" s="230"/>
      <c r="G27" s="230"/>
      <c r="H27" s="230"/>
      <c r="I27" s="230"/>
      <c r="J27" s="231"/>
      <c r="K27" s="198"/>
      <c r="L27" s="199"/>
      <c r="M27" s="199"/>
      <c r="N27" s="199"/>
      <c r="O27" s="199"/>
      <c r="P27" s="199"/>
      <c r="Q27" s="199"/>
      <c r="R27" s="199"/>
      <c r="S27" s="200"/>
      <c r="T27" s="675"/>
      <c r="U27" s="676"/>
      <c r="V27" s="676"/>
      <c r="W27" s="676"/>
      <c r="X27" s="676"/>
      <c r="Y27" s="677"/>
      <c r="Z27" s="677"/>
      <c r="AA27" s="677"/>
      <c r="AB27" s="678"/>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94"/>
      <c r="AZ27" s="695"/>
      <c r="BA27" s="695"/>
      <c r="BB27" s="695"/>
      <c r="BC27" s="695"/>
      <c r="BD27" s="695"/>
      <c r="BE27" s="695"/>
      <c r="BF27" s="695"/>
      <c r="BG27" s="708"/>
      <c r="BJ27" s="222"/>
    </row>
    <row r="28" spans="2:65" ht="26.5" customHeight="1">
      <c r="B28" s="228"/>
      <c r="C28" s="190"/>
      <c r="D28" s="190"/>
      <c r="E28" s="190"/>
      <c r="F28" s="190"/>
      <c r="G28" s="190"/>
      <c r="H28" s="190"/>
      <c r="I28" s="190"/>
      <c r="J28" s="191"/>
      <c r="K28" s="699" t="str">
        <f>'Used Language'!$C$18</f>
        <v>Water Losses</v>
      </c>
      <c r="L28" s="700"/>
      <c r="M28" s="700"/>
      <c r="N28" s="700"/>
      <c r="O28" s="700"/>
      <c r="P28" s="700"/>
      <c r="Q28" s="700"/>
      <c r="R28" s="700"/>
      <c r="S28" s="701"/>
      <c r="T28" s="689" t="str">
        <f>'Used Language'!$C$30</f>
        <v>Error Margin [+/-]:</v>
      </c>
      <c r="U28" s="690"/>
      <c r="V28" s="690"/>
      <c r="W28" s="690"/>
      <c r="X28" s="690"/>
      <c r="Y28" s="690"/>
      <c r="Z28" s="690"/>
      <c r="AA28" s="690"/>
      <c r="AB28" s="691"/>
      <c r="AC28" s="665" t="str">
        <f>'Used Language'!$C$27</f>
        <v>Customer Meter Inaccuracies and Data Handling Errors</v>
      </c>
      <c r="AD28" s="702"/>
      <c r="AE28" s="702"/>
      <c r="AF28" s="702"/>
      <c r="AG28" s="702"/>
      <c r="AH28" s="702"/>
      <c r="AI28" s="702"/>
      <c r="AJ28" s="702"/>
      <c r="AK28" s="702"/>
      <c r="AL28" s="702"/>
      <c r="AM28" s="702"/>
      <c r="AN28" s="702"/>
      <c r="AO28" s="702"/>
      <c r="AP28" s="702"/>
      <c r="AQ28" s="702"/>
      <c r="AR28" s="702"/>
      <c r="AS28" s="702"/>
      <c r="AT28" s="702"/>
      <c r="AU28" s="702"/>
      <c r="AV28" s="702"/>
      <c r="AW28" s="702"/>
      <c r="AX28" s="703"/>
      <c r="AY28" s="245"/>
      <c r="AZ28" s="242"/>
      <c r="BA28" s="242"/>
      <c r="BB28" s="242"/>
      <c r="BC28" s="242"/>
      <c r="BD28" s="242"/>
      <c r="BE28" s="242"/>
      <c r="BF28" s="242"/>
      <c r="BG28" s="243"/>
      <c r="BJ28" s="222"/>
    </row>
    <row r="29" spans="2:65" ht="12.65" customHeight="1">
      <c r="B29" s="228"/>
      <c r="C29" s="190"/>
      <c r="D29" s="190"/>
      <c r="E29" s="190"/>
      <c r="F29" s="190"/>
      <c r="G29" s="190"/>
      <c r="H29" s="190"/>
      <c r="I29" s="190"/>
      <c r="J29" s="191"/>
      <c r="K29" s="712">
        <f>B19-K12</f>
        <v>0</v>
      </c>
      <c r="L29" s="713"/>
      <c r="M29" s="713"/>
      <c r="N29" s="713"/>
      <c r="O29" s="713"/>
      <c r="P29" s="714" t="str">
        <f>'Used Language'!$C$151</f>
        <v>m3/year</v>
      </c>
      <c r="Q29" s="714"/>
      <c r="R29" s="714"/>
      <c r="S29" s="715"/>
      <c r="T29" s="694">
        <f>'Water Balance m3day'!T29:AB29</f>
        <v>0</v>
      </c>
      <c r="U29" s="695"/>
      <c r="V29" s="695"/>
      <c r="W29" s="695"/>
      <c r="X29" s="695"/>
      <c r="Y29" s="695"/>
      <c r="Z29" s="695"/>
      <c r="AA29" s="695"/>
      <c r="AB29" s="696"/>
      <c r="AC29" s="675">
        <f>IF(Start!M21&gt;364,'Meter Errors'!L49,'Water Balance m3day'!AC29*365)</f>
        <v>0</v>
      </c>
      <c r="AD29" s="676"/>
      <c r="AE29" s="676"/>
      <c r="AF29" s="676"/>
      <c r="AG29" s="676"/>
      <c r="AH29" s="676"/>
      <c r="AI29" s="676"/>
      <c r="AJ29" s="676"/>
      <c r="AK29" s="676"/>
      <c r="AL29" s="676"/>
      <c r="AM29" s="676"/>
      <c r="AN29" s="676"/>
      <c r="AO29" s="716" t="s">
        <v>1064</v>
      </c>
      <c r="AP29" s="716"/>
      <c r="AQ29" s="716"/>
      <c r="AR29" s="716"/>
      <c r="AS29" s="716"/>
      <c r="AT29" s="716"/>
      <c r="AU29" s="716"/>
      <c r="AV29" s="716"/>
      <c r="AW29" s="716"/>
      <c r="AX29" s="717"/>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705" t="str">
        <f>'Used Language'!$C$30</f>
        <v>Error Margin [+/-]:</v>
      </c>
      <c r="L30" s="706"/>
      <c r="M30" s="706"/>
      <c r="N30" s="706"/>
      <c r="O30" s="706"/>
      <c r="P30" s="706"/>
      <c r="Q30" s="706"/>
      <c r="R30" s="706"/>
      <c r="S30" s="718"/>
      <c r="T30" s="244"/>
      <c r="U30" s="244"/>
      <c r="V30" s="244"/>
      <c r="W30" s="244"/>
      <c r="X30" s="244"/>
      <c r="Y30" s="244"/>
      <c r="Z30" s="244"/>
      <c r="AA30" s="244"/>
      <c r="AB30" s="244"/>
      <c r="AC30" s="680" t="str">
        <f>'Used Language'!$C$30</f>
        <v>Error Margin [+/-]:</v>
      </c>
      <c r="AD30" s="681"/>
      <c r="AE30" s="681"/>
      <c r="AF30" s="681"/>
      <c r="AG30" s="681"/>
      <c r="AH30" s="681"/>
      <c r="AI30" s="681"/>
      <c r="AJ30" s="681"/>
      <c r="AK30" s="681"/>
      <c r="AL30" s="681"/>
      <c r="AM30" s="681"/>
      <c r="AN30" s="681"/>
      <c r="AO30" s="697">
        <f>'Water Balance m3day'!AO30:AX30</f>
        <v>0</v>
      </c>
      <c r="AP30" s="697"/>
      <c r="AQ30" s="697"/>
      <c r="AR30" s="697"/>
      <c r="AS30" s="697"/>
      <c r="AT30" s="697"/>
      <c r="AU30" s="697"/>
      <c r="AV30" s="697"/>
      <c r="AW30" s="697"/>
      <c r="AX30" s="698"/>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94">
        <f>'Water Balance m3day'!K31:S32</f>
        <v>0</v>
      </c>
      <c r="L31" s="695"/>
      <c r="M31" s="695"/>
      <c r="N31" s="695"/>
      <c r="O31" s="695"/>
      <c r="P31" s="695"/>
      <c r="Q31" s="695"/>
      <c r="R31" s="695"/>
      <c r="S31" s="696"/>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94"/>
      <c r="L32" s="695"/>
      <c r="M32" s="695"/>
      <c r="N32" s="695"/>
      <c r="O32" s="695"/>
      <c r="P32" s="695"/>
      <c r="Q32" s="695"/>
      <c r="R32" s="695"/>
      <c r="S32" s="696"/>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69" t="str">
        <f>'Used Language'!C22</f>
        <v>Physical Losses</v>
      </c>
      <c r="U33" s="670"/>
      <c r="V33" s="670"/>
      <c r="W33" s="670"/>
      <c r="X33" s="670"/>
      <c r="Y33" s="670"/>
      <c r="Z33" s="670"/>
      <c r="AA33" s="670"/>
      <c r="AB33" s="670"/>
      <c r="AC33" s="670"/>
      <c r="AD33" s="670"/>
      <c r="AE33" s="670"/>
      <c r="AF33" s="670"/>
      <c r="AG33" s="670"/>
      <c r="AH33" s="670"/>
      <c r="AI33" s="670"/>
      <c r="AJ33" s="670"/>
      <c r="AK33" s="670"/>
      <c r="AL33" s="670"/>
      <c r="AM33" s="670"/>
      <c r="AN33" s="670"/>
      <c r="AO33" s="670"/>
      <c r="AP33" s="670"/>
      <c r="AQ33" s="670"/>
      <c r="AR33" s="670"/>
      <c r="AS33" s="670"/>
      <c r="AT33" s="670"/>
      <c r="AU33" s="670"/>
      <c r="AV33" s="670"/>
      <c r="AW33" s="670"/>
      <c r="AX33" s="67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75">
        <f>K29-T26</f>
        <v>0</v>
      </c>
      <c r="U34" s="676"/>
      <c r="V34" s="676"/>
      <c r="W34" s="676"/>
      <c r="X34" s="676"/>
      <c r="Y34" s="676"/>
      <c r="Z34" s="676"/>
      <c r="AA34" s="676"/>
      <c r="AB34" s="676"/>
      <c r="AC34" s="676"/>
      <c r="AD34" s="676"/>
      <c r="AE34" s="676"/>
      <c r="AF34" s="676"/>
      <c r="AG34" s="676"/>
      <c r="AH34" s="677" t="s">
        <v>1064</v>
      </c>
      <c r="AI34" s="677"/>
      <c r="AJ34" s="677"/>
      <c r="AK34" s="677"/>
      <c r="AL34" s="677"/>
      <c r="AM34" s="677"/>
      <c r="AN34" s="677"/>
      <c r="AO34" s="677"/>
      <c r="AP34" s="677"/>
      <c r="AQ34" s="677"/>
      <c r="AR34" s="677"/>
      <c r="AS34" s="677"/>
      <c r="AT34" s="677"/>
      <c r="AU34" s="677"/>
      <c r="AV34" s="677"/>
      <c r="AW34" s="677"/>
      <c r="AX34" s="678"/>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80" t="str">
        <f>'Used Language'!$C$30</f>
        <v>Error Margin [+/-]:</v>
      </c>
      <c r="U35" s="681"/>
      <c r="V35" s="681"/>
      <c r="W35" s="681"/>
      <c r="X35" s="681"/>
      <c r="Y35" s="681"/>
      <c r="Z35" s="681"/>
      <c r="AA35" s="681"/>
      <c r="AB35" s="681"/>
      <c r="AC35" s="681"/>
      <c r="AD35" s="681"/>
      <c r="AE35" s="681"/>
      <c r="AF35" s="681"/>
      <c r="AG35" s="681"/>
      <c r="AH35" s="697">
        <f>'Water Balance m3day'!AH35:AX35</f>
        <v>0</v>
      </c>
      <c r="AI35" s="697"/>
      <c r="AJ35" s="697"/>
      <c r="AK35" s="697"/>
      <c r="AL35" s="697"/>
      <c r="AM35" s="697"/>
      <c r="AN35" s="697"/>
      <c r="AO35" s="697"/>
      <c r="AP35" s="697"/>
      <c r="AQ35" s="697"/>
      <c r="AR35" s="697"/>
      <c r="AS35" s="697"/>
      <c r="AT35" s="697"/>
      <c r="AU35" s="697"/>
      <c r="AV35" s="697"/>
      <c r="AW35" s="697"/>
      <c r="AX35" s="698"/>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709"/>
      <c r="AK36" s="709"/>
      <c r="AL36" s="709"/>
      <c r="AM36" s="709"/>
      <c r="AN36" s="709"/>
      <c r="AO36" s="709"/>
      <c r="AP36" s="709"/>
      <c r="AQ36" s="709"/>
      <c r="AR36" s="709"/>
      <c r="AS36" s="709"/>
      <c r="AT36" s="709"/>
      <c r="AU36" s="709"/>
      <c r="AV36" s="709"/>
      <c r="AW36" s="709"/>
      <c r="AX36" s="710"/>
      <c r="AY36" s="216"/>
      <c r="AZ36" s="217"/>
      <c r="BA36" s="217"/>
      <c r="BB36" s="217"/>
      <c r="BC36" s="217"/>
      <c r="BD36" s="217"/>
      <c r="BE36" s="217"/>
      <c r="BF36" s="217"/>
      <c r="BG36" s="218"/>
    </row>
    <row r="37" spans="2:65" ht="4.9000000000000004" customHeight="1" thickTop="1"/>
  </sheetData>
  <sheetProtection algorithmName="SHA-512" hashValue="WZ6wz5+bYfzy0DIOKcQrXIO/AJfS9VdtVuMkOl+Wm1IMYYbwoRBfuitGK9S2sPhgGLl12K19Me59BXGqOgoYqw==" saltValue="/nYyEQNI7pIcc4O3eydZ7w==" spinCount="100000" sheet="1" objects="1" scenarios="1"/>
  <mergeCells count="8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K30:S30"/>
    <mergeCell ref="AC30:AN30"/>
    <mergeCell ref="AO30:AX30"/>
    <mergeCell ref="T26:X27"/>
    <mergeCell ref="Y26:AB27"/>
    <mergeCell ref="AC26:AN26"/>
    <mergeCell ref="AO26:AX26"/>
    <mergeCell ref="K29:O29"/>
    <mergeCell ref="P29:S29"/>
    <mergeCell ref="T29:AB29"/>
    <mergeCell ref="AC29:AN29"/>
    <mergeCell ref="AO29:AX29"/>
    <mergeCell ref="AJ36:AX36"/>
    <mergeCell ref="K31:S32"/>
    <mergeCell ref="T33:AX33"/>
    <mergeCell ref="T34:AG34"/>
    <mergeCell ref="AH34:AX34"/>
    <mergeCell ref="T35:AG35"/>
    <mergeCell ref="AH35:AX35"/>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pageSetUpPr fitToPage="1"/>
  </sheetPr>
  <dimension ref="B1:AD73"/>
  <sheetViews>
    <sheetView zoomScaleNormal="100" workbookViewId="0">
      <selection activeCell="N7" sqref="N7:P8"/>
    </sheetView>
  </sheetViews>
  <sheetFormatPr baseColWidth="10" defaultColWidth="11.453125" defaultRowHeight="14.5"/>
  <cols>
    <col min="1" max="1" width="2.26953125" style="33" customWidth="1"/>
    <col min="2" max="2" width="18.26953125" style="33" customWidth="1"/>
    <col min="3" max="3" width="4.7265625" style="33" customWidth="1"/>
    <col min="4" max="4" width="12.453125" style="33" customWidth="1"/>
    <col min="5" max="5" width="2.1796875" style="33" customWidth="1"/>
    <col min="6" max="6" width="16.81640625" style="33" customWidth="1"/>
    <col min="7" max="7" width="2" style="33" customWidth="1"/>
    <col min="8" max="8" width="15.7265625" style="33" customWidth="1"/>
    <col min="9" max="9" width="2" style="33" customWidth="1"/>
    <col min="10" max="10" width="11.54296875" style="33" customWidth="1"/>
    <col min="11" max="11" width="2" style="33" customWidth="1"/>
    <col min="12" max="12" width="11.54296875" style="33" customWidth="1"/>
    <col min="13" max="13" width="1.54296875" style="33" customWidth="1"/>
    <col min="14" max="14" width="17.81640625" style="33" customWidth="1"/>
    <col min="15" max="15" width="2.81640625" style="33" customWidth="1"/>
    <col min="16" max="16" width="18.26953125" style="33" customWidth="1"/>
    <col min="17" max="17" width="2.26953125" style="49" customWidth="1"/>
    <col min="18" max="18" width="11.453125" style="49" hidden="1" customWidth="1"/>
    <col min="19" max="19" width="13.453125" style="49" hidden="1" customWidth="1"/>
    <col min="20" max="20" width="12.453125" style="49" hidden="1" customWidth="1"/>
    <col min="21" max="21" width="18" style="49" hidden="1" customWidth="1"/>
    <col min="22" max="22" width="11.453125" style="49" hidden="1" customWidth="1"/>
    <col min="23" max="23" width="0" style="49" hidden="1" customWidth="1"/>
    <col min="24" max="24" width="11.453125" style="33"/>
    <col min="25" max="30" width="0" style="33" hidden="1" customWidth="1"/>
    <col min="31" max="16384" width="11.453125" style="33"/>
  </cols>
  <sheetData>
    <row r="1" spans="2:21" ht="5.25" customHeight="1"/>
    <row r="2" spans="2:21" ht="21.65" customHeight="1">
      <c r="B2" s="542" t="str">
        <f>'Used Language'!C7</f>
        <v>Performance Indicators</v>
      </c>
      <c r="C2" s="543"/>
      <c r="D2" s="543"/>
      <c r="E2" s="543"/>
      <c r="F2" s="543"/>
      <c r="G2" s="543"/>
      <c r="H2" s="543"/>
      <c r="I2" s="543"/>
      <c r="J2" s="543"/>
      <c r="K2" s="543"/>
      <c r="L2" s="544"/>
      <c r="M2" s="147"/>
      <c r="N2" s="147"/>
      <c r="O2" s="147"/>
      <c r="P2" s="147"/>
    </row>
    <row r="3" spans="2:21" ht="5.25" customHeight="1">
      <c r="O3" s="147"/>
    </row>
    <row r="4" spans="2:21" ht="6" customHeight="1">
      <c r="O4" s="147"/>
    </row>
    <row r="5" spans="2:21" ht="18" customHeight="1">
      <c r="B5" s="740" t="str">
        <f>'Used Language'!$C$36</f>
        <v>Level of Service</v>
      </c>
      <c r="C5" s="741"/>
      <c r="D5" s="741"/>
      <c r="E5" s="741"/>
      <c r="F5" s="741"/>
      <c r="G5" s="741"/>
      <c r="H5" s="741"/>
      <c r="I5" s="741"/>
      <c r="J5" s="741"/>
      <c r="K5" s="741"/>
      <c r="L5" s="742"/>
    </row>
    <row r="6" spans="2:21" ht="15.75" customHeight="1" thickBot="1"/>
    <row r="7" spans="2:21" ht="44.25" customHeight="1" thickTop="1">
      <c r="F7" s="268" t="str">
        <f>'Used Language'!$C$32</f>
        <v>Best Estimate</v>
      </c>
      <c r="H7" s="268" t="str">
        <f>'Used Language'!$C$33</f>
        <v>Error Margin
[+/- %]</v>
      </c>
      <c r="J7" s="268" t="str">
        <f>'Used Language'!$C$34</f>
        <v>Lower Bound</v>
      </c>
      <c r="L7" s="268" t="str">
        <f>'Used Language'!$C$35</f>
        <v>Upper Bound</v>
      </c>
      <c r="N7" s="743" t="str">
        <f>'Used Language'!C128</f>
        <v>Home</v>
      </c>
      <c r="O7" s="744"/>
      <c r="P7" s="745"/>
    </row>
    <row r="8" spans="2:21" ht="6" customHeight="1" thickBot="1">
      <c r="N8" s="746"/>
      <c r="O8" s="747"/>
      <c r="P8" s="748"/>
    </row>
    <row r="9" spans="2:21" ht="27.75" customHeight="1" thickTop="1">
      <c r="B9" s="723" t="str">
        <f>'Used Language'!$C$44</f>
        <v>Average Supply Time [h/day]</v>
      </c>
      <c r="C9" s="724"/>
      <c r="D9" s="725"/>
      <c r="F9" s="270">
        <f>'Intermittent Supply'!H33</f>
        <v>24</v>
      </c>
      <c r="H9" s="271">
        <f>'Intermittent Supply'!H26</f>
        <v>0</v>
      </c>
      <c r="J9" s="270">
        <f>F9*(1-H9)</f>
        <v>24</v>
      </c>
      <c r="L9" s="270">
        <f>'Intermittent Supply'!H31</f>
        <v>24</v>
      </c>
      <c r="M9" s="251"/>
      <c r="N9" s="252"/>
      <c r="O9" s="253"/>
      <c r="P9" s="253"/>
    </row>
    <row r="10" spans="2:21" ht="6" customHeight="1">
      <c r="J10" s="258"/>
      <c r="L10" s="258"/>
      <c r="N10" s="49"/>
      <c r="O10" s="51"/>
      <c r="P10" s="51"/>
    </row>
    <row r="11" spans="2:21">
      <c r="B11" s="723" t="str">
        <f>'Used Language'!$C$45</f>
        <v>Average Pressure [m]</v>
      </c>
      <c r="C11" s="724"/>
      <c r="D11" s="725"/>
      <c r="F11" s="270">
        <f>Pressure!F33</f>
        <v>0</v>
      </c>
      <c r="H11" s="271">
        <f>Pressure!F26</f>
        <v>0</v>
      </c>
      <c r="J11" s="270">
        <f>F11*(1-H11)</f>
        <v>0</v>
      </c>
      <c r="L11" s="270">
        <f>F11*(1+H11)</f>
        <v>0</v>
      </c>
      <c r="M11" s="251"/>
      <c r="N11" s="252"/>
      <c r="O11" s="253"/>
      <c r="P11" s="253"/>
    </row>
    <row r="12" spans="2:21">
      <c r="N12" s="49"/>
      <c r="O12" s="51"/>
      <c r="P12" s="51"/>
    </row>
    <row r="13" spans="2:21" ht="18" customHeight="1">
      <c r="B13" s="740" t="str">
        <f>'Used Language'!$C$37</f>
        <v>Volume of Physical Losses</v>
      </c>
      <c r="C13" s="741"/>
      <c r="D13" s="741"/>
      <c r="E13" s="741"/>
      <c r="F13" s="741"/>
      <c r="G13" s="741"/>
      <c r="H13" s="741"/>
      <c r="I13" s="741"/>
      <c r="J13" s="741"/>
      <c r="K13" s="741"/>
      <c r="L13" s="742"/>
      <c r="N13" s="49"/>
      <c r="O13" s="51"/>
      <c r="P13" s="51"/>
      <c r="S13" s="49" t="s">
        <v>1207</v>
      </c>
      <c r="T13" s="259" t="s">
        <v>953</v>
      </c>
      <c r="U13" s="259" t="s">
        <v>964</v>
      </c>
    </row>
    <row r="14" spans="2:21">
      <c r="N14" s="49"/>
      <c r="O14" s="51"/>
      <c r="P14" s="51"/>
    </row>
    <row r="15" spans="2:21" ht="44.25" customHeight="1">
      <c r="F15" s="268" t="str">
        <f>'Used Language'!$C$32</f>
        <v>Best Estimate</v>
      </c>
      <c r="H15" s="268" t="str">
        <f>'Used Language'!$C$33</f>
        <v>Error Margin
[+/- %]</v>
      </c>
      <c r="J15" s="268" t="str">
        <f>'Used Language'!$C$34</f>
        <v>Lower Bound</v>
      </c>
      <c r="L15" s="268" t="str">
        <f>'Used Language'!$C$35</f>
        <v>Upper Bound</v>
      </c>
      <c r="N15" s="49"/>
      <c r="O15" s="51"/>
      <c r="P15" s="51" t="s">
        <v>962</v>
      </c>
      <c r="R15" s="49">
        <f>Network!D35</f>
        <v>0</v>
      </c>
      <c r="S15" s="49">
        <f>R15*18*$F$11/24*$F$9/1000</f>
        <v>0</v>
      </c>
      <c r="T15" s="260">
        <f>SQRT($H$9*$H$9+$H$11*$H$11+Network!D30*Network!D30)</f>
        <v>0</v>
      </c>
      <c r="U15" s="261">
        <f>((S15*T15)/1.96)^2</f>
        <v>0</v>
      </c>
    </row>
    <row r="16" spans="2:21" ht="6" customHeight="1">
      <c r="N16" s="49"/>
      <c r="O16" s="51"/>
      <c r="P16" s="51"/>
    </row>
    <row r="17" spans="2:21" ht="45" customHeight="1">
      <c r="B17" s="723" t="str">
        <f>'Used Language'!$C$46</f>
        <v>CAPL - Current Annual Volume of Physical Losses [m3/day]</v>
      </c>
      <c r="C17" s="724"/>
      <c r="D17" s="725"/>
      <c r="F17" s="269">
        <f>'Water Balance m3day'!T34</f>
        <v>0</v>
      </c>
      <c r="H17" s="271">
        <f>'Water Balance m3day'!AH35</f>
        <v>0</v>
      </c>
      <c r="J17" s="269">
        <f>F17*(1-H17)</f>
        <v>0</v>
      </c>
      <c r="L17" s="269">
        <f>F17*(1+H17)</f>
        <v>0</v>
      </c>
      <c r="M17" s="251"/>
      <c r="N17" s="252"/>
      <c r="O17" s="253"/>
      <c r="P17" s="51" t="s">
        <v>961</v>
      </c>
      <c r="R17" s="261">
        <f>Network!H30</f>
        <v>0</v>
      </c>
      <c r="S17" s="49">
        <f>R17*0.8*$F$11/24*$F$9/1000</f>
        <v>0</v>
      </c>
      <c r="T17" s="260">
        <f>SQRT($H$9*$H$9+$H$11*$H$11+Network!J24*Network!J24)</f>
        <v>0</v>
      </c>
      <c r="U17" s="261">
        <f>((S17*T17)/1.96)^2</f>
        <v>0</v>
      </c>
    </row>
    <row r="18" spans="2:21" ht="6" customHeight="1">
      <c r="N18" s="49"/>
      <c r="O18" s="51"/>
      <c r="P18" s="51"/>
      <c r="R18" s="261"/>
      <c r="T18" s="260"/>
      <c r="U18" s="261"/>
    </row>
    <row r="19" spans="2:21" ht="48.75" customHeight="1">
      <c r="B19" s="723" t="str">
        <f>'Used Language'!$C$47</f>
        <v>MAPL - Minimum Achievable Volume of Physical Losses [m3/day]</v>
      </c>
      <c r="C19" s="724"/>
      <c r="D19" s="725"/>
      <c r="F19" s="269">
        <f>IF((((Network!D37*18+Network!H30*0.8+Network!H39*25)*PIs!F11)/24*PIs!F9)*365/1000&gt;0,(((Network!D37*18+Network!H30*0.8+Network!H39*25)*PIs!F11)/24*PIs!F9)/1000,0)</f>
        <v>0</v>
      </c>
      <c r="H19" s="271">
        <f>IF(F19=0,0,(SQRT(U20))*1.96/F19)</f>
        <v>0</v>
      </c>
      <c r="J19" s="269">
        <f>F19*(1-H19)</f>
        <v>0</v>
      </c>
      <c r="L19" s="269">
        <f>F19*(1+H19)</f>
        <v>0</v>
      </c>
      <c r="M19" s="251"/>
      <c r="N19" s="252"/>
      <c r="O19" s="253"/>
      <c r="P19" s="51" t="s">
        <v>963</v>
      </c>
      <c r="R19" s="262">
        <f>Network!H39</f>
        <v>0</v>
      </c>
      <c r="S19" s="49">
        <f>R19*25*365*$F$11/24*$F$9/1000/1000</f>
        <v>0</v>
      </c>
      <c r="T19" s="260">
        <f>SQRT($H$9*$H$9+$H$11*$H$11+Network!J39*Network!J39)</f>
        <v>0</v>
      </c>
      <c r="U19" s="261">
        <f>((S19*T19)/1.96)^2</f>
        <v>0</v>
      </c>
    </row>
    <row r="20" spans="2:21">
      <c r="N20" s="49"/>
      <c r="O20" s="51"/>
      <c r="P20" s="51"/>
      <c r="S20" s="263"/>
      <c r="T20" s="264"/>
      <c r="U20" s="261">
        <f>SUM(U17:U19)</f>
        <v>0</v>
      </c>
    </row>
    <row r="21" spans="2:21" ht="18" customHeight="1">
      <c r="B21" s="740" t="str">
        <f>'Used Language'!$C$38</f>
        <v>Physical Loss Performance Indicators</v>
      </c>
      <c r="C21" s="741"/>
      <c r="D21" s="741"/>
      <c r="E21" s="741"/>
      <c r="F21" s="741"/>
      <c r="G21" s="741"/>
      <c r="H21" s="741"/>
      <c r="I21" s="741"/>
      <c r="J21" s="741"/>
      <c r="K21" s="741"/>
      <c r="L21" s="742"/>
      <c r="N21" s="727" t="str">
        <f>'Used Language'!C41</f>
        <v>Performance Group</v>
      </c>
      <c r="O21" s="728"/>
      <c r="P21" s="729"/>
      <c r="S21" s="263"/>
      <c r="T21" s="265"/>
      <c r="U21" s="264"/>
    </row>
    <row r="22" spans="2:21" ht="12.75" customHeight="1">
      <c r="N22" s="730"/>
      <c r="O22" s="731"/>
      <c r="P22" s="732"/>
      <c r="S22" s="263"/>
      <c r="T22" s="265"/>
      <c r="U22" s="264"/>
    </row>
    <row r="23" spans="2:21" ht="44.25" customHeight="1">
      <c r="F23" s="268" t="str">
        <f>'Used Language'!$C$32</f>
        <v>Best Estimate</v>
      </c>
      <c r="H23" s="268" t="str">
        <f>'Used Language'!$C$33</f>
        <v>Error Margin
[+/- %]</v>
      </c>
      <c r="J23" s="268" t="str">
        <f>'Used Language'!$C$34</f>
        <v>Lower Bound</v>
      </c>
      <c r="L23" s="268" t="str">
        <f>'Used Language'!$C$35</f>
        <v>Upper Bound</v>
      </c>
      <c r="N23" s="749" t="str">
        <f>'Used Language'!C42</f>
        <v>Standard</v>
      </c>
      <c r="O23" s="254"/>
      <c r="P23" s="751" t="str">
        <f>'Used Language'!C43</f>
        <v>Low and Middle Income Countries</v>
      </c>
    </row>
    <row r="24" spans="2:21" ht="6" customHeight="1">
      <c r="N24" s="750"/>
      <c r="O24" s="255"/>
      <c r="P24" s="752"/>
      <c r="S24" s="266"/>
    </row>
    <row r="25" spans="2:21" ht="30" customHeight="1">
      <c r="B25" s="723" t="str">
        <f>'Used Language'!$C$50</f>
        <v>Infrastructure Leakage Index (ILI)</v>
      </c>
      <c r="C25" s="724"/>
      <c r="D25" s="725"/>
      <c r="F25" s="269">
        <f>IF(F19=0,0,F17/F19)</f>
        <v>0</v>
      </c>
      <c r="H25" s="271">
        <f>SQRT(H17*H17+H19*H19)</f>
        <v>0</v>
      </c>
      <c r="J25" s="269">
        <f>F25*(1-H25)</f>
        <v>0</v>
      </c>
      <c r="L25" s="269">
        <f>F25*(1+H25)</f>
        <v>0</v>
      </c>
      <c r="N25" s="750"/>
      <c r="O25" s="255"/>
      <c r="P25" s="752"/>
    </row>
    <row r="26" spans="2:21" ht="6" customHeight="1">
      <c r="N26" s="291"/>
      <c r="O26" s="255"/>
      <c r="P26" s="292"/>
    </row>
    <row r="27" spans="2:21" ht="114.75" customHeight="1">
      <c r="B27" s="723" t="str">
        <f>'Used Language'!$C$48</f>
        <v>Liters per Connection per Day (w.s.p.)
w.s.p.: when the system is pressurized - this means the value is already corrected in the case of intermittent supply</v>
      </c>
      <c r="C27" s="724"/>
      <c r="D27" s="725"/>
      <c r="F27" s="269">
        <f>IF(OR(Network!H30=0,F9=0),0,F17/Network!H30*1000/F9*24)</f>
        <v>0</v>
      </c>
      <c r="H27" s="271">
        <f>SQRT(H9*H9+Network!J24*Network!J24+'Water Balance m3year'!AH35*'Water Balance m3year'!AH35)</f>
        <v>0</v>
      </c>
      <c r="J27" s="269">
        <f>F27*(1-H27)</f>
        <v>0</v>
      </c>
      <c r="L27" s="269">
        <f>F27*(1+H27)</f>
        <v>0</v>
      </c>
      <c r="N27" s="726" t="str">
        <f>IF(F25=0,"",IF(F25&lt;1.51,"A1",(IF($F$25&lt;2.01,"A2",(IF($F$25&lt;4.01,"B",(IF($F$25&lt;8,"C","D"))))))))</f>
        <v/>
      </c>
      <c r="O27" s="293"/>
      <c r="P27" s="739" t="str">
        <f>IF(F25=0,"",IF(F25&lt;2.01,"A1",(IF(F25&lt;4.01,"A2",(IF(F25&lt;8.01,"B",(IF(F25&lt;16.01,"C","D"))))))))</f>
        <v/>
      </c>
    </row>
    <row r="28" spans="2:21" ht="6" customHeight="1">
      <c r="M28" s="251"/>
      <c r="N28" s="726"/>
      <c r="O28" s="293"/>
      <c r="P28" s="739"/>
    </row>
    <row r="29" spans="2:21" ht="45" customHeight="1">
      <c r="B29" s="723" t="str">
        <f>'Used Language'!$C$49</f>
        <v>Liters per Connection per Day per meter Pressure (w.s.p.)</v>
      </c>
      <c r="C29" s="724"/>
      <c r="D29" s="725"/>
      <c r="F29" s="269">
        <f>IF(F11=0,0,F27/F11)</f>
        <v>0</v>
      </c>
      <c r="H29" s="271">
        <f>SQRT(H27*H27+H11*H11)</f>
        <v>0</v>
      </c>
      <c r="J29" s="269">
        <f>F29*(1-H29)</f>
        <v>0</v>
      </c>
      <c r="L29" s="269">
        <f>F29*(1+H29)</f>
        <v>0</v>
      </c>
      <c r="N29" s="726"/>
      <c r="O29" s="293"/>
      <c r="P29" s="739"/>
      <c r="S29" s="49" t="s">
        <v>952</v>
      </c>
      <c r="T29" s="49" t="s">
        <v>953</v>
      </c>
      <c r="U29" s="49" t="s">
        <v>964</v>
      </c>
    </row>
    <row r="30" spans="2:21" ht="6" customHeight="1">
      <c r="M30" s="251"/>
      <c r="N30" s="726"/>
      <c r="O30" s="293"/>
      <c r="P30" s="739"/>
      <c r="R30" s="49" t="s">
        <v>959</v>
      </c>
      <c r="S30" s="261">
        <f>'Water Balance m3year'!K12</f>
        <v>0</v>
      </c>
      <c r="T30" s="267">
        <f>'Water Balance m3year'!K15</f>
        <v>0</v>
      </c>
      <c r="U30" s="261">
        <f>((S30*T30)/1.96)^2</f>
        <v>0</v>
      </c>
    </row>
    <row r="31" spans="2:21" ht="24" customHeight="1">
      <c r="B31" s="723" t="str">
        <f>'Used Language'!C107</f>
        <v>m3/km mains per hour (w.s.p.)</v>
      </c>
      <c r="C31" s="724"/>
      <c r="D31" s="725"/>
      <c r="F31" s="272">
        <f>IF(OR(Network!D37=0,F9=0),0,F17/F9/Network!D37)</f>
        <v>0</v>
      </c>
      <c r="H31" s="271">
        <f>SQRT(H9*H9+'Water Balance m3year'!AH35*'Water Balance m3year'!AH35+Network!D30*Network!D30)</f>
        <v>0</v>
      </c>
      <c r="J31" s="272">
        <f>F31*(1-H31)</f>
        <v>0</v>
      </c>
      <c r="L31" s="272">
        <f>F31*(1+H31)</f>
        <v>0</v>
      </c>
      <c r="N31" s="322" t="str">
        <f>'Used Language'!C116</f>
        <v>Explanations</v>
      </c>
      <c r="O31" s="256"/>
      <c r="P31" s="321" t="str">
        <f>'Used Language'!C116</f>
        <v>Explanations</v>
      </c>
      <c r="S31" s="261"/>
      <c r="T31" s="267"/>
      <c r="U31" s="261"/>
    </row>
    <row r="32" spans="2:21">
      <c r="M32" s="251"/>
      <c r="R32" s="49" t="s">
        <v>960</v>
      </c>
      <c r="S32" s="261">
        <f>'Water Balance m3year'!T26</f>
        <v>0</v>
      </c>
      <c r="T32" s="260">
        <f>'Water Balance m3year'!T29</f>
        <v>0</v>
      </c>
      <c r="U32" s="261">
        <f>((S32*T32)/1.96)^2</f>
        <v>0</v>
      </c>
    </row>
    <row r="33" spans="2:21" ht="18" customHeight="1">
      <c r="B33" s="740" t="str">
        <f>'Used Language'!$C$39</f>
        <v>Commercial Loss Performance Indicators</v>
      </c>
      <c r="C33" s="741"/>
      <c r="D33" s="741"/>
      <c r="E33" s="741"/>
      <c r="F33" s="741"/>
      <c r="G33" s="741"/>
      <c r="H33" s="741"/>
      <c r="I33" s="741"/>
      <c r="J33" s="741"/>
      <c r="K33" s="741"/>
      <c r="L33" s="742"/>
      <c r="N33" s="257"/>
      <c r="O33" s="257"/>
      <c r="P33" s="257"/>
    </row>
    <row r="34" spans="2:21">
      <c r="M34" s="251"/>
      <c r="N34" s="257"/>
      <c r="O34" s="257"/>
      <c r="P34" s="257"/>
      <c r="S34" s="261">
        <f>S30*F37</f>
        <v>0</v>
      </c>
      <c r="U34" s="261">
        <f>SUM(U30:U32)</f>
        <v>0</v>
      </c>
    </row>
    <row r="35" spans="2:21" ht="44.25" customHeight="1">
      <c r="F35" s="268" t="str">
        <f>'Used Language'!$C$32</f>
        <v>Best Estimate</v>
      </c>
      <c r="H35" s="268" t="str">
        <f>'Used Language'!$C$33</f>
        <v>Error Margin
[+/- %]</v>
      </c>
      <c r="J35" s="268" t="str">
        <f>'Used Language'!$C$34</f>
        <v>Lower Bound</v>
      </c>
      <c r="L35" s="268" t="str">
        <f>'Used Language'!$C$35</f>
        <v>Upper Bound</v>
      </c>
      <c r="N35" s="257"/>
      <c r="O35" s="257"/>
      <c r="P35" s="257"/>
    </row>
    <row r="36" spans="2:21" ht="6" customHeight="1">
      <c r="S36" s="49" t="s">
        <v>952</v>
      </c>
      <c r="T36" s="49" t="s">
        <v>953</v>
      </c>
      <c r="U36" s="49" t="s">
        <v>964</v>
      </c>
    </row>
    <row r="37" spans="2:21" ht="43.5" customHeight="1">
      <c r="B37" s="723" t="str">
        <f>'Used Language'!$C$51</f>
        <v>Commercial Losses expressed in % of Authorized Consumption</v>
      </c>
      <c r="C37" s="724"/>
      <c r="D37" s="725"/>
      <c r="F37" s="271">
        <f>IF('Water Balance m3year'!K12=0,0,'Water Balance m3year'!T26/'Water Balance m3year'!K12)</f>
        <v>0</v>
      </c>
      <c r="H37" s="271">
        <f>IF($S$34=0,0,(SQRT($U$34))*1.96/$S$34)</f>
        <v>0</v>
      </c>
      <c r="J37" s="271">
        <f>F37*(1-H37)</f>
        <v>0</v>
      </c>
      <c r="L37" s="271">
        <f>F37*(1+H37)</f>
        <v>0</v>
      </c>
      <c r="S37" s="261"/>
      <c r="T37" s="267"/>
      <c r="U37" s="261"/>
    </row>
    <row r="38" spans="2:21" ht="6" customHeight="1">
      <c r="Q38" s="33"/>
      <c r="R38" s="33"/>
      <c r="S38" s="33"/>
      <c r="T38" s="33"/>
      <c r="U38" s="33"/>
    </row>
    <row r="39" spans="2:21" ht="43.5" customHeight="1">
      <c r="B39" s="723" t="str">
        <f>'Used Language'!$C$154</f>
        <v>liters/connection/day</v>
      </c>
      <c r="C39" s="724"/>
      <c r="D39" s="725"/>
      <c r="F39" s="269">
        <f>IF(Network!H30=0,0,'Water Balance m3day'!T26/Network!H30*1000)</f>
        <v>0</v>
      </c>
      <c r="H39" s="271">
        <f>SQRT(Network!J24*Network!J24+T32*T32)</f>
        <v>0</v>
      </c>
      <c r="J39" s="269">
        <f>F39*(1-H39)</f>
        <v>0</v>
      </c>
      <c r="L39" s="269">
        <f>F39*(1+H39)</f>
        <v>0</v>
      </c>
      <c r="S39" s="261"/>
      <c r="T39" s="267"/>
      <c r="U39" s="261"/>
    </row>
    <row r="40" spans="2:21" ht="6" customHeight="1">
      <c r="S40" s="261"/>
      <c r="T40" s="267"/>
      <c r="U40" s="261"/>
    </row>
    <row r="41" spans="2:21" ht="43.5" customHeight="1">
      <c r="B41" s="723" t="str">
        <f>'Used Language'!C185</f>
        <v>liters/customer/day</v>
      </c>
      <c r="C41" s="724"/>
      <c r="D41" s="725"/>
      <c r="F41" s="269">
        <f>IF(Network!H7=0,0,'Water Balance m3day'!T26/Network!H7*1000)</f>
        <v>0</v>
      </c>
      <c r="H41" s="271">
        <f>SQRT(Network!J7*Network!J7+T32*T32)</f>
        <v>0</v>
      </c>
      <c r="J41" s="269">
        <f>F41*(1-H41)</f>
        <v>0</v>
      </c>
      <c r="L41" s="269">
        <f>F41*(1+H41)</f>
        <v>0</v>
      </c>
      <c r="S41" s="261"/>
      <c r="T41" s="267"/>
      <c r="U41" s="261"/>
    </row>
    <row r="42" spans="2:21">
      <c r="S42" s="261"/>
      <c r="T42" s="267"/>
      <c r="U42" s="261"/>
    </row>
    <row r="43" spans="2:21" ht="18" customHeight="1">
      <c r="B43" s="740" t="str">
        <f>'Used Language'!$C$186</f>
        <v>NRW Performance Indicators</v>
      </c>
      <c r="C43" s="741"/>
      <c r="D43" s="741"/>
      <c r="E43" s="741"/>
      <c r="F43" s="741"/>
      <c r="G43" s="741"/>
      <c r="H43" s="741"/>
      <c r="I43" s="741"/>
      <c r="J43" s="741"/>
      <c r="K43" s="741"/>
      <c r="L43" s="742"/>
      <c r="N43" s="727" t="str">
        <f>'Used Language'!C41</f>
        <v>Performance Group</v>
      </c>
      <c r="O43" s="728"/>
      <c r="P43" s="729"/>
      <c r="S43" s="261"/>
      <c r="T43" s="267"/>
      <c r="U43" s="261"/>
    </row>
    <row r="44" spans="2:21" ht="12.75" customHeight="1">
      <c r="M44" s="257"/>
      <c r="N44" s="730"/>
      <c r="O44" s="731"/>
      <c r="P44" s="732"/>
      <c r="S44" s="261"/>
      <c r="T44" s="267"/>
      <c r="U44" s="261"/>
    </row>
    <row r="45" spans="2:21" ht="44.25" customHeight="1">
      <c r="F45" s="268" t="str">
        <f>'Used Language'!$C$32</f>
        <v>Best Estimate</v>
      </c>
      <c r="H45" s="268" t="str">
        <f>'Used Language'!$C$33</f>
        <v>Error Margin
[+/- %]</v>
      </c>
      <c r="J45" s="268" t="str">
        <f>'Used Language'!$C$34</f>
        <v>Lower Bound</v>
      </c>
      <c r="L45" s="268" t="str">
        <f>'Used Language'!$C$35</f>
        <v>Upper Bound</v>
      </c>
      <c r="N45" s="733" t="str">
        <f>'Used Language'!C42</f>
        <v>Standard</v>
      </c>
      <c r="O45" s="314"/>
      <c r="P45" s="737" t="str">
        <f>'Used Language'!C43</f>
        <v>Low and Middle Income Countries</v>
      </c>
      <c r="S45" s="261"/>
      <c r="T45" s="267"/>
      <c r="U45" s="261"/>
    </row>
    <row r="46" spans="2:21">
      <c r="N46" s="734"/>
      <c r="O46" s="250"/>
      <c r="P46" s="738"/>
      <c r="S46" s="261"/>
      <c r="T46" s="267"/>
      <c r="U46" s="264"/>
    </row>
    <row r="47" spans="2:21" ht="43.5" customHeight="1">
      <c r="B47" s="723" t="str">
        <f>'Used Language'!$C$52</f>
        <v>Volume of Non-Revenue Water expressed in % of System Input Volume</v>
      </c>
      <c r="C47" s="724"/>
      <c r="D47" s="725"/>
      <c r="F47" s="271">
        <f>IF('Water Balance m3year'!B19=0,0,'Water Balance m3year'!AY24/'Water Balance m3year'!B19)</f>
        <v>0</v>
      </c>
      <c r="H47" s="271">
        <f>'Water Balance m3year'!AY26</f>
        <v>0</v>
      </c>
      <c r="J47" s="271">
        <f>F47*(1-H47)</f>
        <v>0</v>
      </c>
      <c r="L47" s="271">
        <f>F47*(1+H47)</f>
        <v>0</v>
      </c>
      <c r="N47" s="735" t="str">
        <f>IF(F51=0,"",IF(F51&lt;AA68+0.01,"A1",(IF(F51&lt;AA69+0.01,"A2",(IF(F51&lt;AA70+0.01,"B",(IF(F51&lt;AA71+0.01,"C","D"))))))))</f>
        <v/>
      </c>
      <c r="O47" s="311"/>
      <c r="P47" s="736" t="str">
        <f>IF(F51=0,"",IF(F51&lt;Z68+0.01,"A1",(IF(F51&lt;Z69+0.01,"A2",(IF(F51&lt;Z70+0.01,"B",(IF(F51&lt;Z71+0.01,"C","D"))))))))</f>
        <v/>
      </c>
      <c r="S47" s="261"/>
      <c r="T47" s="267"/>
      <c r="U47" s="264"/>
    </row>
    <row r="48" spans="2:21" ht="6" customHeight="1">
      <c r="N48" s="735"/>
      <c r="O48" s="311"/>
      <c r="P48" s="736"/>
      <c r="S48" s="261"/>
      <c r="T48" s="267"/>
      <c r="U48" s="264"/>
    </row>
    <row r="49" spans="2:30" ht="43.5" customHeight="1">
      <c r="B49" s="723" t="str">
        <f>'Used Language'!$C$53</f>
        <v>Value of Non-Revenue Water expressed in % of Annual Operating Cost</v>
      </c>
      <c r="C49" s="724"/>
      <c r="D49" s="725"/>
      <c r="F49" s="271">
        <f>IF('Financial Data'!G35=0,0,'Financial Data'!G31/'Financial Data'!G35)</f>
        <v>0</v>
      </c>
      <c r="H49" s="271">
        <f>H47</f>
        <v>0</v>
      </c>
      <c r="J49" s="271">
        <f>F49*(1-H49)</f>
        <v>0</v>
      </c>
      <c r="L49" s="271">
        <f>F49*(1+H49)</f>
        <v>0</v>
      </c>
      <c r="N49" s="735"/>
      <c r="O49" s="311"/>
      <c r="P49" s="736"/>
      <c r="S49" s="261"/>
      <c r="T49" s="267"/>
      <c r="U49" s="264"/>
    </row>
    <row r="50" spans="2:30" ht="6" customHeight="1">
      <c r="N50" s="313"/>
      <c r="O50" s="310"/>
      <c r="P50" s="312"/>
      <c r="S50" s="261"/>
      <c r="T50" s="267"/>
      <c r="U50" s="264"/>
    </row>
    <row r="51" spans="2:30" ht="115.5" customHeight="1">
      <c r="B51" s="723" t="str">
        <f>'Used Language'!$C$48</f>
        <v>Liters per Connection per Day (w.s.p.)
w.s.p.: when the system is pressurized - this means the value is already corrected in the case of intermittent supply</v>
      </c>
      <c r="C51" s="724"/>
      <c r="D51" s="725"/>
      <c r="F51" s="269">
        <f>IF(Network!H30=0,0,'Water Balance m3day'!AY24/Network!H30*1000/F9*24)</f>
        <v>0</v>
      </c>
      <c r="H51" s="271">
        <f>SQRT(H9*H9+Network!J10*Network!J10+'Water Balance m3year'!AY26*'Water Balance m3year'!AY26)</f>
        <v>0</v>
      </c>
      <c r="J51" s="269">
        <f>F51*(1-H51)</f>
        <v>0</v>
      </c>
      <c r="L51" s="269">
        <f>F51*(1+H51)</f>
        <v>0</v>
      </c>
      <c r="N51" s="313" t="str">
        <f>'Used Language'!C116</f>
        <v>Explanations</v>
      </c>
      <c r="O51" s="310"/>
      <c r="P51" s="312" t="str">
        <f>'Used Language'!C116</f>
        <v>Explanations</v>
      </c>
      <c r="S51" s="261"/>
      <c r="T51" s="267"/>
      <c r="U51" s="264"/>
    </row>
    <row r="52" spans="2:30">
      <c r="S52" s="261"/>
      <c r="T52" s="267"/>
      <c r="U52" s="264"/>
    </row>
    <row r="53" spans="2:30" ht="6" customHeight="1">
      <c r="S53" s="261"/>
      <c r="T53" s="267"/>
      <c r="U53" s="264"/>
    </row>
    <row r="54" spans="2:30">
      <c r="S54" s="261"/>
      <c r="T54" s="267"/>
      <c r="U54" s="264"/>
      <c r="Z54" s="33">
        <v>15</v>
      </c>
      <c r="AA54" s="33">
        <v>25</v>
      </c>
      <c r="AB54" s="33">
        <v>35</v>
      </c>
      <c r="AC54" s="33">
        <v>45</v>
      </c>
      <c r="AD54" s="33">
        <v>50</v>
      </c>
    </row>
    <row r="55" spans="2:30" ht="6" customHeight="1" thickBot="1">
      <c r="S55" s="261"/>
      <c r="T55" s="267"/>
      <c r="U55" s="264"/>
    </row>
    <row r="56" spans="2:30" ht="19" thickBot="1">
      <c r="S56" s="261"/>
      <c r="T56" s="267"/>
      <c r="U56" s="264"/>
      <c r="Y56" s="282" t="s">
        <v>2946</v>
      </c>
      <c r="Z56" s="282"/>
      <c r="AA56" s="282">
        <v>50</v>
      </c>
      <c r="AB56" s="282">
        <v>65</v>
      </c>
      <c r="AC56" s="282">
        <v>75</v>
      </c>
      <c r="AD56" s="284">
        <v>85</v>
      </c>
    </row>
    <row r="57" spans="2:30" ht="19" thickBot="1">
      <c r="U57" s="264"/>
      <c r="Y57" s="282" t="s">
        <v>2947</v>
      </c>
      <c r="Z57" s="282"/>
      <c r="AA57" s="282">
        <v>100</v>
      </c>
      <c r="AB57" s="282">
        <v>125</v>
      </c>
      <c r="AC57" s="282">
        <v>150</v>
      </c>
      <c r="AD57" s="284">
        <v>175</v>
      </c>
    </row>
    <row r="58" spans="2:30" ht="19" thickBot="1">
      <c r="Y58" s="282" t="s">
        <v>1516</v>
      </c>
      <c r="Z58" s="282"/>
      <c r="AA58" s="282">
        <v>200</v>
      </c>
      <c r="AB58" s="282">
        <v>250</v>
      </c>
      <c r="AC58" s="282">
        <v>300</v>
      </c>
      <c r="AD58" s="284">
        <v>350</v>
      </c>
    </row>
    <row r="59" spans="2:30" ht="19" thickBot="1">
      <c r="Y59" s="282" t="s">
        <v>1521</v>
      </c>
      <c r="Z59" s="282"/>
      <c r="AA59" s="282">
        <v>350</v>
      </c>
      <c r="AB59" s="282">
        <v>450</v>
      </c>
      <c r="AC59" s="282">
        <v>550</v>
      </c>
      <c r="AD59" s="284">
        <v>650</v>
      </c>
    </row>
    <row r="60" spans="2:30" ht="19" thickBot="1">
      <c r="Y60" s="282" t="s">
        <v>1525</v>
      </c>
      <c r="Z60" s="282"/>
      <c r="AA60" s="282"/>
      <c r="AB60" s="282"/>
      <c r="AC60" s="282"/>
      <c r="AD60" s="284"/>
    </row>
    <row r="61" spans="2:30" ht="15" thickBot="1">
      <c r="Z61" s="33">
        <v>15</v>
      </c>
      <c r="AA61" s="33">
        <v>25</v>
      </c>
      <c r="AB61" s="33">
        <v>35</v>
      </c>
      <c r="AC61" s="33">
        <v>45</v>
      </c>
      <c r="AD61" s="33">
        <v>50</v>
      </c>
    </row>
    <row r="62" spans="2:30" ht="19" thickBot="1">
      <c r="Y62" s="285" t="s">
        <v>2946</v>
      </c>
      <c r="Z62" s="285">
        <v>55</v>
      </c>
      <c r="AA62" s="285">
        <v>80</v>
      </c>
      <c r="AB62" s="285">
        <v>105</v>
      </c>
      <c r="AC62" s="285">
        <v>130</v>
      </c>
      <c r="AD62" s="287">
        <v>155</v>
      </c>
    </row>
    <row r="63" spans="2:30" ht="19" thickBot="1">
      <c r="Y63" s="285" t="s">
        <v>2947</v>
      </c>
      <c r="Z63" s="285">
        <v>110</v>
      </c>
      <c r="AA63" s="285">
        <v>160</v>
      </c>
      <c r="AB63" s="285">
        <v>210</v>
      </c>
      <c r="AC63" s="285">
        <v>260</v>
      </c>
      <c r="AD63" s="287">
        <v>310</v>
      </c>
    </row>
    <row r="64" spans="2:30" ht="19" thickBot="1">
      <c r="Y64" s="285" t="s">
        <v>1516</v>
      </c>
      <c r="Z64" s="285">
        <v>220</v>
      </c>
      <c r="AA64" s="285">
        <v>320</v>
      </c>
      <c r="AB64" s="285">
        <v>420</v>
      </c>
      <c r="AC64" s="285">
        <v>520</v>
      </c>
      <c r="AD64" s="287">
        <v>620</v>
      </c>
    </row>
    <row r="65" spans="25:30" ht="19" thickBot="1">
      <c r="Y65" s="285" t="s">
        <v>1521</v>
      </c>
      <c r="Z65" s="285">
        <v>400</v>
      </c>
      <c r="AA65" s="285">
        <v>600</v>
      </c>
      <c r="AB65" s="285">
        <v>800</v>
      </c>
      <c r="AC65" s="285">
        <v>1000</v>
      </c>
      <c r="AD65" s="287">
        <v>1200</v>
      </c>
    </row>
    <row r="66" spans="25:30" ht="19" thickBot="1">
      <c r="Y66" s="289" t="s">
        <v>1525</v>
      </c>
      <c r="Z66" s="289"/>
      <c r="AA66" s="289"/>
      <c r="AB66" s="289"/>
      <c r="AC66" s="289"/>
      <c r="AD66" s="290"/>
    </row>
    <row r="67" spans="25:30" ht="15.5" thickTop="1" thickBot="1"/>
    <row r="68" spans="25:30" ht="19" thickBot="1">
      <c r="Y68" s="308" t="s">
        <v>2946</v>
      </c>
      <c r="Z68" s="33">
        <f>IF(F11&lt;15.01,Z62,IF(F11&lt;25.01,AA62,IF(F11&lt;35.01,AB62,IF(F11&lt;45.01,AC62,IF(F11&gt;=45.01,AD62)))))</f>
        <v>55</v>
      </c>
      <c r="AA68" s="33">
        <f>IF(F11&lt;25.01,AA56,IF(F11&lt;35.01,AB56,IF(F11&lt;45.01,AC56,IF(F11&gt;=45.01,AD56))))</f>
        <v>50</v>
      </c>
    </row>
    <row r="69" spans="25:30" ht="19" thickBot="1">
      <c r="Y69" s="308" t="s">
        <v>2947</v>
      </c>
      <c r="Z69" s="33">
        <f>IF(F11&lt;15.01,Z63,IF(F11&lt;25.01,AA63,IF(F11&lt;35.01,AB63,IF(F11&lt;45.01,AC63,IF(F11&gt;=45.01,AD63)))))</f>
        <v>110</v>
      </c>
      <c r="AA69" s="33">
        <f>IF(F11&lt;25.01,AA57,IF(F11&lt;35.01,AB57,IF(F11&lt;45.01,AC57,IF(F11&gt;=45.01,AD57))))</f>
        <v>100</v>
      </c>
    </row>
    <row r="70" spans="25:30" ht="19" thickBot="1">
      <c r="Y70" s="308" t="s">
        <v>1516</v>
      </c>
      <c r="Z70" s="33">
        <f>IF(F11&lt;15.01,Z64,IF(F11&lt;25.01,AA64,IF(F11&lt;35.01,AB64,IF(F11&lt;45.01,AC64,IF(F11&gt;=45.01,AD64)))))</f>
        <v>220</v>
      </c>
      <c r="AA70" s="33">
        <f>IF(F11&lt;25.01,AA58,IF(F11&lt;35.01,AB58,IF(F11&lt;45.01,AC58,IF(F11&gt;=45.01,AD58))))</f>
        <v>200</v>
      </c>
    </row>
    <row r="71" spans="25:30" ht="19" thickBot="1">
      <c r="Y71" s="308" t="s">
        <v>1521</v>
      </c>
      <c r="Z71" s="33">
        <f>IF(F11&lt;15.01,Z65,IF(F11&lt;25.01,AA65,IF(F11&lt;35.01,AB65,IF(F11&lt;45.01,AC65,IF(F11&gt;=45.01,AD65)))))</f>
        <v>400</v>
      </c>
      <c r="AA71" s="33">
        <f>IF(F11&lt;25.01,AA59,IF(F11&lt;35.01,AB59,IF(F11&lt;45.01,AC59,IF(F11&gt;=45.01,AD59))))</f>
        <v>350</v>
      </c>
    </row>
    <row r="72" spans="25:30" ht="19" thickBot="1">
      <c r="Y72" s="309" t="s">
        <v>1525</v>
      </c>
    </row>
    <row r="73" spans="25:30" ht="15" thickTop="1"/>
  </sheetData>
  <sheetProtection algorithmName="SHA-512" hashValue="o0H8pllyOpC3nPUC5F55zpqRAsMLZkyNluh3SXO9DgyhmICOZwK5Po9K4REzS8Ayt5rG2BvDd9fMxJEaoQ0HNQ==" saltValue="W36h55Km9DIAIWgXyoR5lQ==" spinCount="100000" sheet="1" objects="1" scenarios="1"/>
  <mergeCells count="31">
    <mergeCell ref="N7:P8"/>
    <mergeCell ref="B25:D25"/>
    <mergeCell ref="N23:N25"/>
    <mergeCell ref="P23:P25"/>
    <mergeCell ref="N21:P22"/>
    <mergeCell ref="B21:L21"/>
    <mergeCell ref="B31:D31"/>
    <mergeCell ref="B41:D41"/>
    <mergeCell ref="B2:L2"/>
    <mergeCell ref="B17:D17"/>
    <mergeCell ref="B19:D19"/>
    <mergeCell ref="B9:D9"/>
    <mergeCell ref="B11:D11"/>
    <mergeCell ref="B5:L5"/>
    <mergeCell ref="B13:L13"/>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s>
  <phoneticPr fontId="7" type="noConversion"/>
  <hyperlinks>
    <hyperlink ref="N7:N8" location="Start!A1" display="Home"/>
    <hyperlink ref="N23:N29" location="Matrix!A1" display="Matrix!A1"/>
    <hyperlink ref="N26" location="Matrix!A1" display="Matrix!A1"/>
    <hyperlink ref="P26" location="Matrix!A1" display="Matrix!A1"/>
    <hyperlink ref="N23:N31" location="Matrix!A1" display="Matrix!A1"/>
    <hyperlink ref="N31" location="Matrix!C18" display="Matrix!C18"/>
    <hyperlink ref="P31" location="Matrix!C18" display="Matrix!C18"/>
    <hyperlink ref="N45:N46" location="'Matrix (2)'!A1" display="'Matrix (2)'!A1"/>
    <hyperlink ref="P45:P46" location="'Matrix (2)'!A1" display="'Matrix (2)'!A1"/>
    <hyperlink ref="N47:N49" location="'Matrix (2)'!Druckbereich" display="'Matrix (2)'!Druckbereich"/>
    <hyperlink ref="P47:P49" location="'Matrix (2)'!Druckbereich" display="'Matrix (2)'!Druckbereich"/>
    <hyperlink ref="N51" location="'Matrix (2)'!C18" display="'Matrix (2)'!C18"/>
    <hyperlink ref="P51" location="'Matrix (2)'!C18" display="'Matrix (2)'!C18"/>
    <hyperlink ref="N23:N25" location="Matrix!A1" display="Matrix!A1"/>
    <hyperlink ref="P27:P30" location="Matrix!A1" display="Matrix!A1"/>
    <hyperlink ref="N27:N30" location="Matrix!A1" display="Matrix!A1"/>
    <hyperlink ref="P23:P25" location="Matrix!Druckbereich" display="Matrix!Druckbereich"/>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B1:O61"/>
  <sheetViews>
    <sheetView topLeftCell="A25" workbookViewId="0">
      <selection activeCell="F45" sqref="F45"/>
    </sheetView>
  </sheetViews>
  <sheetFormatPr baseColWidth="10" defaultColWidth="11.453125" defaultRowHeight="13"/>
  <cols>
    <col min="1" max="2" width="3.7265625" style="380" customWidth="1"/>
    <col min="3" max="3" width="34.81640625" style="380" customWidth="1"/>
    <col min="4" max="4" width="15.26953125" style="380" customWidth="1"/>
    <col min="5" max="5" width="5.26953125" style="380" customWidth="1"/>
    <col min="6" max="6" width="14.26953125" style="380" customWidth="1"/>
    <col min="7" max="7" width="12.453125" style="380" customWidth="1"/>
    <col min="8" max="8" width="4.81640625" style="381" customWidth="1"/>
    <col min="9" max="9" width="14.26953125" style="380" customWidth="1"/>
    <col min="10" max="10" width="24.54296875" style="380" customWidth="1"/>
    <col min="11" max="11" width="3.7265625" style="380" customWidth="1"/>
    <col min="12" max="12" width="3.54296875" style="380" customWidth="1"/>
    <col min="13" max="15" width="7.81640625" style="380" customWidth="1"/>
    <col min="16" max="16384" width="11.453125" style="380"/>
  </cols>
  <sheetData>
    <row r="1" spans="2:15" ht="13.5" thickBot="1"/>
    <row r="2" spans="2:15" ht="46.5" customHeight="1" thickTop="1" thickBot="1">
      <c r="B2" s="377" t="str">
        <f>'Used Language'!$C$159</f>
        <v>THE "WHAT IF" TOOL</v>
      </c>
      <c r="C2" s="378"/>
      <c r="D2" s="378"/>
      <c r="E2" s="378"/>
      <c r="F2" s="378"/>
      <c r="G2" s="378"/>
      <c r="H2" s="379"/>
      <c r="I2" s="378"/>
      <c r="J2" s="378"/>
      <c r="K2" s="378"/>
      <c r="M2" s="539" t="str">
        <f>'Used Language'!C128</f>
        <v>Home</v>
      </c>
      <c r="N2" s="540"/>
      <c r="O2" s="541"/>
    </row>
    <row r="3" spans="2:15" ht="13.5" customHeight="1" thickTop="1" thickBot="1"/>
    <row r="4" spans="2:15" ht="9" customHeight="1">
      <c r="B4" s="382"/>
      <c r="C4" s="383"/>
      <c r="D4" s="383"/>
      <c r="E4" s="383"/>
      <c r="F4" s="383"/>
      <c r="G4" s="383"/>
      <c r="H4" s="384"/>
      <c r="I4" s="383"/>
      <c r="J4" s="383"/>
      <c r="K4" s="385"/>
    </row>
    <row r="5" spans="2:15" ht="28.5">
      <c r="B5" s="386"/>
      <c r="C5" s="387" t="str">
        <f>'Used Language'!$C$160</f>
        <v>IF</v>
      </c>
      <c r="D5" s="388"/>
      <c r="E5" s="388"/>
      <c r="F5" s="388"/>
      <c r="G5" s="388"/>
      <c r="H5" s="389"/>
      <c r="I5" s="388"/>
      <c r="J5" s="388"/>
      <c r="K5" s="390"/>
    </row>
    <row r="6" spans="2:15" s="375" customFormat="1" ht="14.5">
      <c r="B6" s="391"/>
      <c r="C6" s="392"/>
      <c r="D6" s="392"/>
      <c r="E6" s="392"/>
      <c r="F6" s="392"/>
      <c r="G6" s="392"/>
      <c r="H6" s="393"/>
      <c r="I6" s="392"/>
      <c r="J6" s="392"/>
      <c r="K6" s="394"/>
    </row>
    <row r="7" spans="2:15" s="375" customFormat="1" ht="15" customHeight="1">
      <c r="B7" s="391"/>
      <c r="C7" s="395" t="str">
        <f>'Used Language'!$C$70</f>
        <v>Average Pressure</v>
      </c>
      <c r="D7" s="396" t="str">
        <f>'Used Language'!$C$166</f>
        <v>changes</v>
      </c>
      <c r="E7" s="396" t="str">
        <f>'Used Language'!$C$164</f>
        <v>from</v>
      </c>
      <c r="F7" s="397">
        <f>Pressure!F33</f>
        <v>0</v>
      </c>
      <c r="G7" s="392" t="str">
        <f>'Used Language'!$C$169</f>
        <v>m</v>
      </c>
      <c r="H7" s="393" t="str">
        <f>'Used Language'!$C$165</f>
        <v>to</v>
      </c>
      <c r="I7" s="398"/>
      <c r="J7" s="392" t="str">
        <f>'Used Language'!$C$169</f>
        <v>m</v>
      </c>
      <c r="K7" s="394"/>
    </row>
    <row r="8" spans="2:15" s="375" customFormat="1" ht="9" customHeight="1">
      <c r="B8" s="391"/>
      <c r="C8" s="392"/>
      <c r="D8" s="392"/>
      <c r="E8" s="392"/>
      <c r="F8" s="392"/>
      <c r="G8" s="392"/>
      <c r="H8" s="393"/>
      <c r="I8" s="392"/>
      <c r="J8" s="392"/>
      <c r="K8" s="394"/>
    </row>
    <row r="9" spans="2:15" s="375" customFormat="1" ht="14.5">
      <c r="B9" s="391"/>
      <c r="C9" s="395" t="str">
        <f>'Used Language'!$C$157</f>
        <v>Average Supply Time</v>
      </c>
      <c r="D9" s="396" t="str">
        <f>'Used Language'!$C$166</f>
        <v>changes</v>
      </c>
      <c r="E9" s="396" t="str">
        <f>'Used Language'!$C$164</f>
        <v>from</v>
      </c>
      <c r="F9" s="397">
        <f>'Intermittent Supply'!H33</f>
        <v>24</v>
      </c>
      <c r="G9" s="392" t="str">
        <f>'Used Language'!$C$162</f>
        <v>h/day</v>
      </c>
      <c r="H9" s="393" t="str">
        <f>'Used Language'!$C$165</f>
        <v>to</v>
      </c>
      <c r="I9" s="398"/>
      <c r="J9" s="392" t="str">
        <f>'Used Language'!$C$162</f>
        <v>h/day</v>
      </c>
      <c r="K9" s="394"/>
    </row>
    <row r="10" spans="2:15" s="375" customFormat="1" ht="9" customHeight="1">
      <c r="B10" s="391"/>
      <c r="C10" s="392"/>
      <c r="D10" s="392"/>
      <c r="E10" s="392"/>
      <c r="F10" s="392"/>
      <c r="G10" s="392"/>
      <c r="H10" s="393"/>
      <c r="I10" s="392"/>
      <c r="J10" s="392"/>
      <c r="K10" s="394"/>
    </row>
    <row r="11" spans="2:15" s="375" customFormat="1" ht="15" customHeight="1">
      <c r="B11" s="391"/>
      <c r="C11" s="395" t="str">
        <f>'Used Language'!$C$158</f>
        <v>Coverage</v>
      </c>
      <c r="D11" s="396" t="str">
        <f>'Used Language'!$C$167</f>
        <v>increases</v>
      </c>
      <c r="E11" s="399" t="str">
        <f>'Used Language'!$C$164</f>
        <v>from</v>
      </c>
      <c r="F11" s="400"/>
      <c r="G11" s="392" t="s">
        <v>667</v>
      </c>
      <c r="H11" s="393" t="str">
        <f>'Used Language'!$C$165</f>
        <v>to</v>
      </c>
      <c r="I11" s="401"/>
      <c r="J11" s="392" t="s">
        <v>667</v>
      </c>
      <c r="K11" s="394"/>
    </row>
    <row r="12" spans="2:15" s="375" customFormat="1" ht="9" customHeight="1">
      <c r="B12" s="391"/>
      <c r="C12" s="392"/>
      <c r="D12" s="392"/>
      <c r="E12" s="392"/>
      <c r="F12" s="392"/>
      <c r="G12" s="392"/>
      <c r="H12" s="392"/>
      <c r="I12" s="392"/>
      <c r="J12" s="392"/>
      <c r="K12" s="394"/>
    </row>
    <row r="13" spans="2:15" s="375" customFormat="1" ht="15" customHeight="1">
      <c r="B13" s="391"/>
      <c r="C13" s="395" t="str">
        <f>'Used Language'!C200</f>
        <v>Additional volume sold to existing customers</v>
      </c>
      <c r="D13" s="396"/>
      <c r="E13" s="396"/>
      <c r="F13" s="397"/>
      <c r="G13" s="392"/>
      <c r="H13" s="393"/>
      <c r="I13" s="402"/>
      <c r="J13" s="392" t="str">
        <f>'Used Language'!C201</f>
        <v>additional m3/d</v>
      </c>
      <c r="K13" s="394"/>
    </row>
    <row r="14" spans="2:15" s="375" customFormat="1" ht="9" customHeight="1">
      <c r="B14" s="391"/>
      <c r="C14" s="392"/>
      <c r="D14" s="392"/>
      <c r="E14" s="392"/>
      <c r="F14" s="392"/>
      <c r="G14" s="392"/>
      <c r="H14" s="393"/>
      <c r="I14" s="392"/>
      <c r="J14" s="392"/>
      <c r="K14" s="394"/>
    </row>
    <row r="15" spans="2:15" s="375" customFormat="1" ht="15" customHeight="1">
      <c r="B15" s="391"/>
      <c r="C15" s="395" t="str">
        <f>'Used Language'!$C$22</f>
        <v>Physical Losses</v>
      </c>
      <c r="D15" s="396" t="str">
        <f>'Used Language'!$C$168</f>
        <v>change</v>
      </c>
      <c r="E15" s="396" t="str">
        <f>'Used Language'!$C$164</f>
        <v>from</v>
      </c>
      <c r="F15" s="374">
        <f>PIs!F25</f>
        <v>0</v>
      </c>
      <c r="G15" s="753" t="str">
        <f>'Used Language'!$C$181</f>
        <v>ILI</v>
      </c>
      <c r="H15" s="393" t="str">
        <f>'Used Language'!$C$165</f>
        <v>to</v>
      </c>
      <c r="I15" s="401"/>
      <c r="J15" s="753" t="str">
        <f>'Used Language'!$C$181</f>
        <v>ILI</v>
      </c>
      <c r="K15" s="394"/>
    </row>
    <row r="16" spans="2:15" s="375" customFormat="1" ht="9" customHeight="1">
      <c r="B16" s="391"/>
      <c r="C16" s="392"/>
      <c r="D16" s="392"/>
      <c r="E16" s="392"/>
      <c r="F16" s="392"/>
      <c r="G16" s="753"/>
      <c r="H16" s="393"/>
      <c r="I16" s="393"/>
      <c r="J16" s="753"/>
      <c r="K16" s="394"/>
    </row>
    <row r="17" spans="2:15" s="375" customFormat="1" ht="15" customHeight="1">
      <c r="B17" s="391"/>
      <c r="C17" s="395" t="str">
        <f>'Used Language'!$C$21</f>
        <v>Commercial Losses</v>
      </c>
      <c r="D17" s="396" t="str">
        <f>'Used Language'!$C$168</f>
        <v>change</v>
      </c>
      <c r="E17" s="396" t="str">
        <f>'Used Language'!$C$164</f>
        <v>from</v>
      </c>
      <c r="F17" s="374">
        <f>PIs!F39</f>
        <v>0</v>
      </c>
      <c r="G17" s="392" t="str">
        <f>'Used Language'!$C$163</f>
        <v>l/conn./d</v>
      </c>
      <c r="H17" s="393" t="str">
        <f>'Used Language'!$C$165</f>
        <v>to</v>
      </c>
      <c r="I17" s="401"/>
      <c r="J17" s="392" t="str">
        <f>'Used Language'!$C$163</f>
        <v>l/conn./d</v>
      </c>
      <c r="K17" s="394"/>
    </row>
    <row r="18" spans="2:15" ht="9" customHeight="1" thickBot="1">
      <c r="B18" s="403"/>
      <c r="C18" s="404"/>
      <c r="D18" s="404"/>
      <c r="E18" s="404"/>
      <c r="F18" s="404"/>
      <c r="G18" s="404"/>
      <c r="H18" s="405"/>
      <c r="I18" s="404"/>
      <c r="J18" s="404"/>
      <c r="K18" s="406"/>
    </row>
    <row r="19" spans="2:15" ht="13.5" thickBot="1"/>
    <row r="20" spans="2:15" ht="9" customHeight="1">
      <c r="B20" s="382"/>
      <c r="C20" s="383"/>
      <c r="D20" s="383"/>
      <c r="E20" s="383"/>
      <c r="F20" s="383"/>
      <c r="G20" s="383"/>
      <c r="H20" s="384"/>
      <c r="I20" s="383"/>
      <c r="J20" s="383"/>
      <c r="K20" s="385"/>
    </row>
    <row r="21" spans="2:15" ht="28.5">
      <c r="B21" s="386"/>
      <c r="C21" s="387" t="str">
        <f>'Used Language'!$C$161</f>
        <v>THEN</v>
      </c>
      <c r="D21" s="388"/>
      <c r="E21" s="388"/>
      <c r="F21" s="388"/>
      <c r="G21" s="388"/>
      <c r="H21" s="389"/>
      <c r="I21" s="388"/>
      <c r="J21" s="388"/>
      <c r="K21" s="390"/>
    </row>
    <row r="22" spans="2:15" s="375" customFormat="1" ht="9" customHeight="1">
      <c r="B22" s="391"/>
      <c r="C22" s="392"/>
      <c r="D22" s="392"/>
      <c r="E22" s="392"/>
      <c r="F22" s="392"/>
      <c r="G22" s="392"/>
      <c r="H22" s="393"/>
      <c r="I22" s="392"/>
      <c r="J22" s="392"/>
      <c r="K22" s="394"/>
    </row>
    <row r="23" spans="2:15" s="375" customFormat="1" ht="15" customHeight="1">
      <c r="B23" s="391"/>
      <c r="C23" s="619" t="str">
        <f>'Used Language'!$C$67</f>
        <v>Number of Connections</v>
      </c>
      <c r="D23" s="754"/>
      <c r="E23" s="392"/>
      <c r="F23" s="392"/>
      <c r="G23" s="392"/>
      <c r="H23" s="393"/>
      <c r="I23" s="392"/>
      <c r="J23" s="392"/>
      <c r="K23" s="394"/>
    </row>
    <row r="24" spans="2:15" s="375" customFormat="1" ht="15" customHeight="1">
      <c r="B24" s="391"/>
      <c r="C24" s="755" t="str">
        <f>'Used Language'!$C$172</f>
        <v xml:space="preserve">will increase approximately </v>
      </c>
      <c r="D24" s="756"/>
      <c r="E24" s="392" t="str">
        <f>'Used Language'!$C$164</f>
        <v>from</v>
      </c>
      <c r="F24" s="407">
        <f>Network!H30</f>
        <v>0</v>
      </c>
      <c r="G24" s="392"/>
      <c r="H24" s="393" t="str">
        <f>'Used Language'!$C$165</f>
        <v>to</v>
      </c>
      <c r="I24" s="407">
        <f>IF(F$11=0,F24,F24/F$11*I$11)</f>
        <v>0</v>
      </c>
      <c r="J24" s="392"/>
      <c r="K24" s="394"/>
    </row>
    <row r="25" spans="2:15" s="375" customFormat="1" ht="9" customHeight="1">
      <c r="B25" s="391"/>
      <c r="C25" s="392"/>
      <c r="D25" s="392"/>
      <c r="E25" s="392"/>
      <c r="F25" s="392"/>
      <c r="G25" s="392"/>
      <c r="H25" s="393"/>
      <c r="I25" s="392"/>
      <c r="J25" s="392"/>
      <c r="K25" s="394"/>
    </row>
    <row r="26" spans="2:15" s="375" customFormat="1" ht="15" customHeight="1">
      <c r="B26" s="391"/>
      <c r="C26" s="619" t="str">
        <f>'Used Language'!$C$174</f>
        <v>Length of mains</v>
      </c>
      <c r="D26" s="754"/>
      <c r="E26" s="392"/>
      <c r="F26" s="392"/>
      <c r="G26" s="392"/>
      <c r="H26" s="393"/>
      <c r="I26" s="392"/>
      <c r="J26" s="392"/>
      <c r="K26" s="394"/>
    </row>
    <row r="27" spans="2:15" s="375" customFormat="1" ht="15" customHeight="1">
      <c r="B27" s="391"/>
      <c r="C27" s="755" t="str">
        <f>'Used Language'!$C$172</f>
        <v xml:space="preserve">will increase approximately </v>
      </c>
      <c r="D27" s="756"/>
      <c r="E27" s="392" t="str">
        <f>'Used Language'!$C$164</f>
        <v>from</v>
      </c>
      <c r="F27" s="407">
        <f>Network!D37</f>
        <v>0</v>
      </c>
      <c r="G27" s="392" t="str">
        <f>'Used Language'!$C$170</f>
        <v>km</v>
      </c>
      <c r="H27" s="393" t="str">
        <f>'Used Language'!$C$165</f>
        <v>to</v>
      </c>
      <c r="I27" s="407">
        <f>IF(F$11=0,F27,F27/F$11*I$11)</f>
        <v>0</v>
      </c>
      <c r="J27" s="392" t="str">
        <f>'Used Language'!$C$170</f>
        <v>km</v>
      </c>
      <c r="K27" s="394"/>
    </row>
    <row r="28" spans="2:15" s="375" customFormat="1" ht="9" customHeight="1">
      <c r="B28" s="391"/>
      <c r="C28" s="392"/>
      <c r="D28" s="392"/>
      <c r="E28" s="392"/>
      <c r="F28" s="392"/>
      <c r="G28" s="392"/>
      <c r="H28" s="393"/>
      <c r="I28" s="392"/>
      <c r="J28" s="392"/>
      <c r="K28" s="394"/>
    </row>
    <row r="29" spans="2:15" s="375" customFormat="1" ht="15" customHeight="1">
      <c r="B29" s="391"/>
      <c r="C29" s="619" t="str">
        <f>'Used Language'!$C$11</f>
        <v>Billed Consumption</v>
      </c>
      <c r="D29" s="754"/>
      <c r="E29" s="392"/>
      <c r="F29" s="392"/>
      <c r="G29" s="392"/>
      <c r="H29" s="393"/>
      <c r="I29" s="392"/>
      <c r="J29" s="392"/>
      <c r="K29" s="394"/>
    </row>
    <row r="30" spans="2:15" s="375" customFormat="1" ht="15" customHeight="1">
      <c r="B30" s="391"/>
      <c r="C30" s="755" t="str">
        <f>'Used Language'!$C$173</f>
        <v>will change approximately</v>
      </c>
      <c r="D30" s="756"/>
      <c r="E30" s="392" t="str">
        <f>'Used Language'!$C$164</f>
        <v>from</v>
      </c>
      <c r="F30" s="407">
        <f>'Water Balance m3day'!T8</f>
        <v>0</v>
      </c>
      <c r="G30" s="392" t="str">
        <f>'Used Language'!$C$31</f>
        <v>m3/day</v>
      </c>
      <c r="H30" s="393" t="str">
        <f>'Used Language'!$C$165</f>
        <v>to</v>
      </c>
      <c r="I30" s="407">
        <f>(IF(F11=0,F30+F47-I47,F30/F24*I24+(F47-I47)))+I13</f>
        <v>0</v>
      </c>
      <c r="J30" s="392" t="str">
        <f>'Used Language'!$C$31</f>
        <v>m3/day</v>
      </c>
      <c r="K30" s="394"/>
      <c r="M30" s="376"/>
    </row>
    <row r="31" spans="2:15" s="375" customFormat="1" ht="9" customHeight="1">
      <c r="B31" s="391"/>
      <c r="C31" s="392"/>
      <c r="D31" s="392"/>
      <c r="E31" s="392"/>
      <c r="F31" s="392"/>
      <c r="G31" s="392"/>
      <c r="H31" s="393"/>
      <c r="I31" s="392"/>
      <c r="J31" s="392"/>
      <c r="K31" s="394"/>
      <c r="O31" s="376"/>
    </row>
    <row r="32" spans="2:15" s="375" customFormat="1" ht="15" customHeight="1">
      <c r="B32" s="391"/>
      <c r="C32" s="619" t="str">
        <f>'Used Language'!$C$10</f>
        <v>System Input Volume</v>
      </c>
      <c r="D32" s="754"/>
      <c r="E32" s="392"/>
      <c r="F32" s="392"/>
      <c r="G32" s="392"/>
      <c r="H32" s="393"/>
      <c r="I32" s="392"/>
      <c r="J32" s="392"/>
      <c r="K32" s="394"/>
    </row>
    <row r="33" spans="2:13" s="375" customFormat="1" ht="15" customHeight="1">
      <c r="B33" s="391"/>
      <c r="C33" s="755" t="str">
        <f>'Used Language'!$C$182</f>
        <v>will change approximately</v>
      </c>
      <c r="D33" s="756"/>
      <c r="E33" s="392" t="str">
        <f>'Used Language'!$C$164</f>
        <v>from</v>
      </c>
      <c r="F33" s="407">
        <f>'Water Balance m3day'!B19</f>
        <v>0</v>
      </c>
      <c r="G33" s="392" t="str">
        <f>'Used Language'!$C$31</f>
        <v>m3/day</v>
      </c>
      <c r="H33" s="393" t="str">
        <f>'Used Language'!$C$165</f>
        <v>to</v>
      </c>
      <c r="I33" s="407">
        <f>I30+I36</f>
        <v>0</v>
      </c>
      <c r="J33" s="392" t="str">
        <f>'Used Language'!$C$31</f>
        <v>m3/day</v>
      </c>
      <c r="K33" s="394"/>
    </row>
    <row r="34" spans="2:13" s="375" customFormat="1" ht="9" customHeight="1">
      <c r="B34" s="391"/>
      <c r="C34" s="392"/>
      <c r="D34" s="392"/>
      <c r="E34" s="392"/>
      <c r="F34" s="392"/>
      <c r="G34" s="392"/>
      <c r="H34" s="393"/>
      <c r="I34" s="392"/>
      <c r="J34" s="392"/>
      <c r="K34" s="394"/>
      <c r="M34" s="376"/>
    </row>
    <row r="35" spans="2:13" s="375" customFormat="1" ht="15" customHeight="1">
      <c r="B35" s="391"/>
      <c r="C35" s="619" t="str">
        <f>'Used Language'!$C$29</f>
        <v>Non-Revenue Water</v>
      </c>
      <c r="D35" s="754"/>
      <c r="E35" s="392"/>
      <c r="F35" s="392"/>
      <c r="G35" s="392"/>
      <c r="H35" s="393"/>
      <c r="I35" s="392"/>
      <c r="J35" s="392"/>
      <c r="K35" s="394"/>
    </row>
    <row r="36" spans="2:13" s="375" customFormat="1" ht="15" customHeight="1">
      <c r="B36" s="391"/>
      <c r="C36" s="755" t="str">
        <f>'Used Language'!$C$182</f>
        <v>will change approximately</v>
      </c>
      <c r="D36" s="756"/>
      <c r="E36" s="392" t="str">
        <f>'Used Language'!$C$164</f>
        <v>from</v>
      </c>
      <c r="F36" s="407">
        <f>'Water Balance m3day'!AY24</f>
        <v>0</v>
      </c>
      <c r="G36" s="392" t="str">
        <f>'Used Language'!$C$31</f>
        <v>m3/day</v>
      </c>
      <c r="H36" s="393" t="str">
        <f>'Used Language'!$C$165</f>
        <v>to</v>
      </c>
      <c r="I36" s="407">
        <f>IF(F11="",I41+I47+'Water Balance m3day'!T16,I41+I47+'Water Balance m3day'!T16/F11*I11)</f>
        <v>0</v>
      </c>
      <c r="J36" s="392" t="str">
        <f>'Used Language'!$C$31</f>
        <v>m3/day</v>
      </c>
      <c r="K36" s="394"/>
      <c r="M36" s="376"/>
    </row>
    <row r="37" spans="2:13" s="375" customFormat="1" ht="9" customHeight="1">
      <c r="B37" s="391"/>
      <c r="C37" s="392"/>
      <c r="D37" s="392"/>
      <c r="E37" s="392"/>
      <c r="F37" s="392"/>
      <c r="G37" s="392"/>
      <c r="H37" s="392"/>
      <c r="I37" s="392"/>
      <c r="J37" s="392"/>
      <c r="K37" s="394"/>
    </row>
    <row r="38" spans="2:13" s="375" customFormat="1" ht="15" customHeight="1">
      <c r="B38" s="391"/>
      <c r="C38" s="392"/>
      <c r="D38" s="392"/>
      <c r="E38" s="392" t="str">
        <f>'Used Language'!$C$164</f>
        <v>from</v>
      </c>
      <c r="F38" s="407">
        <f>PIs!F51</f>
        <v>0</v>
      </c>
      <c r="G38" s="753" t="str">
        <f>'Used Language'!$C$171</f>
        <v>l/conn./d (w.s.p.)</v>
      </c>
      <c r="H38" s="393" t="str">
        <f>'Used Language'!$C$165</f>
        <v>to</v>
      </c>
      <c r="I38" s="407">
        <f>IF(AND(I9&gt;0,I24&gt;0),I36/I9*24/I24*1000,0)</f>
        <v>0</v>
      </c>
      <c r="J38" s="753" t="str">
        <f>'Used Language'!$C$171</f>
        <v>l/conn./d (w.s.p.)</v>
      </c>
      <c r="K38" s="394"/>
    </row>
    <row r="39" spans="2:13" s="375" customFormat="1" ht="9" customHeight="1">
      <c r="B39" s="391"/>
      <c r="C39" s="392"/>
      <c r="D39" s="392"/>
      <c r="E39" s="392"/>
      <c r="F39" s="392"/>
      <c r="G39" s="753"/>
      <c r="H39" s="393"/>
      <c r="I39" s="392"/>
      <c r="J39" s="753"/>
      <c r="K39" s="394"/>
    </row>
    <row r="40" spans="2:13" s="375" customFormat="1" ht="15" customHeight="1">
      <c r="B40" s="391"/>
      <c r="C40" s="619" t="str">
        <f>'Used Language'!$C$22</f>
        <v>Physical Losses</v>
      </c>
      <c r="D40" s="754"/>
      <c r="E40" s="392"/>
      <c r="F40" s="392"/>
      <c r="G40" s="392"/>
      <c r="H40" s="393"/>
      <c r="I40" s="392"/>
      <c r="J40" s="392"/>
      <c r="K40" s="394"/>
    </row>
    <row r="41" spans="2:13" s="375" customFormat="1" ht="15" customHeight="1">
      <c r="B41" s="391"/>
      <c r="C41" s="755" t="str">
        <f>'Used Language'!$C$173</f>
        <v>will change approximately</v>
      </c>
      <c r="D41" s="756"/>
      <c r="E41" s="392" t="str">
        <f>'Used Language'!$C$164</f>
        <v>from</v>
      </c>
      <c r="F41" s="407">
        <f>'Water Balance m3day'!T34</f>
        <v>0</v>
      </c>
      <c r="G41" s="392" t="str">
        <f>'Used Language'!$C$31</f>
        <v>m3/day</v>
      </c>
      <c r="H41" s="393" t="str">
        <f>'Used Language'!$C$165</f>
        <v>to</v>
      </c>
      <c r="I41" s="407">
        <f>(I27*18+I24*0.8+Network!H39*25)*I7/1000/24*I9*I15</f>
        <v>0</v>
      </c>
      <c r="J41" s="392" t="str">
        <f>'Used Language'!$C$31</f>
        <v>m3/day</v>
      </c>
      <c r="K41" s="394"/>
    </row>
    <row r="42" spans="2:13" s="375" customFormat="1" ht="9" customHeight="1">
      <c r="B42" s="391"/>
      <c r="C42" s="392"/>
      <c r="D42" s="392"/>
      <c r="E42" s="392"/>
      <c r="F42" s="392"/>
      <c r="G42" s="392"/>
      <c r="H42" s="393"/>
      <c r="I42" s="392"/>
      <c r="J42" s="392"/>
      <c r="K42" s="394"/>
    </row>
    <row r="43" spans="2:13" s="375" customFormat="1" ht="15" customHeight="1">
      <c r="B43" s="391"/>
      <c r="C43" s="619" t="str">
        <f>'Used Language'!$C$202</f>
        <v>Annual Production and Distribution Cost</v>
      </c>
      <c r="D43" s="754"/>
      <c r="E43" s="392"/>
      <c r="F43" s="392"/>
      <c r="G43" s="392"/>
      <c r="H43" s="393"/>
      <c r="I43" s="392"/>
      <c r="J43" s="392"/>
      <c r="K43" s="394"/>
    </row>
    <row r="44" spans="2:13" s="375" customFormat="1" ht="15" customHeight="1">
      <c r="B44" s="391"/>
      <c r="C44" s="755" t="str">
        <f>'Used Language'!$C$173</f>
        <v>will change approximately</v>
      </c>
      <c r="D44" s="756"/>
      <c r="E44" s="392" t="str">
        <f>'Used Language'!$C$164</f>
        <v>from</v>
      </c>
      <c r="F44" s="407">
        <f>F33*365*'Financial Data'!G8</f>
        <v>0</v>
      </c>
      <c r="G44" s="408">
        <f>'Financial Data'!K6</f>
        <v>0</v>
      </c>
      <c r="H44" s="393" t="str">
        <f>'Used Language'!$C$165</f>
        <v>to</v>
      </c>
      <c r="I44" s="407">
        <f>I33*365*'Financial Data'!G8</f>
        <v>0</v>
      </c>
      <c r="J44" s="426">
        <f>'Financial Data'!K6</f>
        <v>0</v>
      </c>
      <c r="K44" s="394"/>
    </row>
    <row r="45" spans="2:13" s="375" customFormat="1" ht="9" customHeight="1">
      <c r="B45" s="391"/>
      <c r="C45" s="392"/>
      <c r="D45" s="392"/>
      <c r="E45" s="392"/>
      <c r="F45" s="392"/>
      <c r="G45" s="392"/>
      <c r="H45" s="393"/>
      <c r="I45" s="392"/>
      <c r="J45" s="392"/>
      <c r="K45" s="394"/>
    </row>
    <row r="46" spans="2:13" s="375" customFormat="1" ht="15" customHeight="1">
      <c r="B46" s="391"/>
      <c r="C46" s="619" t="str">
        <f>'Used Language'!$C$21</f>
        <v>Commercial Losses</v>
      </c>
      <c r="D46" s="754"/>
      <c r="E46" s="392"/>
      <c r="F46" s="392"/>
      <c r="G46" s="392"/>
      <c r="H46" s="393"/>
      <c r="I46" s="392"/>
      <c r="J46" s="392"/>
      <c r="K46" s="394"/>
    </row>
    <row r="47" spans="2:13" s="375" customFormat="1" ht="15" customHeight="1">
      <c r="B47" s="391"/>
      <c r="C47" s="755" t="str">
        <f>'Used Language'!$C$173</f>
        <v>will change approximately</v>
      </c>
      <c r="D47" s="756"/>
      <c r="E47" s="392" t="str">
        <f>'Used Language'!$C$164</f>
        <v>from</v>
      </c>
      <c r="F47" s="407">
        <f>'Water Balance m3day'!T26</f>
        <v>0</v>
      </c>
      <c r="G47" s="392" t="str">
        <f>'Used Language'!$C$31</f>
        <v>m3/day</v>
      </c>
      <c r="H47" s="393" t="str">
        <f>'Used Language'!$C$165</f>
        <v>to</v>
      </c>
      <c r="I47" s="407">
        <f>I24*I17/1000</f>
        <v>0</v>
      </c>
      <c r="J47" s="392" t="str">
        <f>'Used Language'!$C$31</f>
        <v>m3/day</v>
      </c>
      <c r="K47" s="394"/>
      <c r="M47" s="376"/>
    </row>
    <row r="48" spans="2:13" s="375" customFormat="1" ht="9" customHeight="1">
      <c r="B48" s="391"/>
      <c r="C48" s="392"/>
      <c r="D48" s="392"/>
      <c r="E48" s="392"/>
      <c r="F48" s="392"/>
      <c r="G48" s="392"/>
      <c r="H48" s="393"/>
      <c r="I48" s="392"/>
      <c r="J48" s="392"/>
      <c r="K48" s="394"/>
    </row>
    <row r="49" spans="2:11" s="375" customFormat="1" ht="15" customHeight="1">
      <c r="B49" s="391"/>
      <c r="C49" s="619" t="str">
        <f>'Used Language'!$C$175</f>
        <v>Annual Revenues</v>
      </c>
      <c r="D49" s="754"/>
      <c r="E49" s="392"/>
      <c r="F49" s="392"/>
      <c r="G49" s="392"/>
      <c r="H49" s="393"/>
      <c r="I49" s="392"/>
      <c r="J49" s="392"/>
      <c r="K49" s="394"/>
    </row>
    <row r="50" spans="2:11" s="375" customFormat="1" ht="15" customHeight="1">
      <c r="B50" s="391"/>
      <c r="C50" s="755" t="str">
        <f>'Used Language'!$C$173</f>
        <v>will change approximately</v>
      </c>
      <c r="D50" s="756"/>
      <c r="E50" s="392" t="str">
        <f>'Used Language'!$C$164</f>
        <v>from</v>
      </c>
      <c r="F50" s="407">
        <f>F30*'Financial Data'!G6*365</f>
        <v>0</v>
      </c>
      <c r="G50" s="408">
        <f>'Financial Data'!K6</f>
        <v>0</v>
      </c>
      <c r="H50" s="393" t="str">
        <f>'Used Language'!$C$165</f>
        <v>to</v>
      </c>
      <c r="I50" s="407">
        <f>I30*'Financial Data'!G6*365</f>
        <v>0</v>
      </c>
      <c r="J50" s="408">
        <f>'Financial Data'!K6</f>
        <v>0</v>
      </c>
      <c r="K50" s="394"/>
    </row>
    <row r="51" spans="2:11" s="375" customFormat="1" ht="9" customHeight="1">
      <c r="B51" s="391"/>
      <c r="C51" s="392"/>
      <c r="D51" s="392"/>
      <c r="E51" s="392"/>
      <c r="F51" s="392"/>
      <c r="G51" s="392"/>
      <c r="H51" s="393"/>
      <c r="I51" s="392"/>
      <c r="J51" s="392"/>
      <c r="K51" s="394"/>
    </row>
    <row r="52" spans="2:11" s="375" customFormat="1" ht="15" customHeight="1">
      <c r="B52" s="391"/>
      <c r="C52" s="619" t="str">
        <f>'Used Language'!$C$176</f>
        <v>Annual operating cost</v>
      </c>
      <c r="D52" s="754"/>
      <c r="E52" s="392"/>
      <c r="F52" s="392"/>
      <c r="G52" s="392"/>
      <c r="H52" s="393"/>
      <c r="I52" s="392"/>
      <c r="J52" s="392"/>
      <c r="K52" s="394"/>
    </row>
    <row r="53" spans="2:11" s="375" customFormat="1" ht="15" customHeight="1">
      <c r="B53" s="391"/>
      <c r="C53" s="755" t="str">
        <f>'Used Language'!$C$173</f>
        <v>will change approximately</v>
      </c>
      <c r="D53" s="756"/>
      <c r="E53" s="392" t="str">
        <f>'Used Language'!$C$164</f>
        <v>from</v>
      </c>
      <c r="F53" s="407">
        <f>'Financial Data'!G35</f>
        <v>0</v>
      </c>
      <c r="G53" s="408">
        <f>G50</f>
        <v>0</v>
      </c>
      <c r="H53" s="393" t="str">
        <f>'Used Language'!$C$165</f>
        <v>to</v>
      </c>
      <c r="I53" s="407">
        <f>IF(OR(F53=0,I33=0),0,(I33-F33)*'Financial Data'!G8*365+F53)</f>
        <v>0</v>
      </c>
      <c r="J53" s="408">
        <f>J50</f>
        <v>0</v>
      </c>
      <c r="K53" s="394"/>
    </row>
    <row r="54" spans="2:11" s="375" customFormat="1" ht="9" customHeight="1">
      <c r="B54" s="391"/>
      <c r="C54" s="392"/>
      <c r="D54" s="392"/>
      <c r="E54" s="392"/>
      <c r="F54" s="392"/>
      <c r="G54" s="392"/>
      <c r="H54" s="393"/>
      <c r="I54" s="392"/>
      <c r="J54" s="392"/>
      <c r="K54" s="394"/>
    </row>
    <row r="55" spans="2:11" s="375" customFormat="1" ht="15" customHeight="1">
      <c r="B55" s="391"/>
      <c r="C55" s="619" t="str">
        <f>'Used Language'!$C$177</f>
        <v>The volume of NRW</v>
      </c>
      <c r="D55" s="754"/>
      <c r="E55" s="392"/>
      <c r="F55" s="392"/>
      <c r="G55" s="392"/>
      <c r="H55" s="393"/>
      <c r="I55" s="392"/>
      <c r="J55" s="392"/>
      <c r="K55" s="394"/>
    </row>
    <row r="56" spans="2:11" s="375" customFormat="1" ht="15" customHeight="1">
      <c r="B56" s="391"/>
      <c r="C56" s="755" t="str">
        <f>'Used Language'!$C$182</f>
        <v>will change approximately</v>
      </c>
      <c r="D56" s="756"/>
      <c r="E56" s="392" t="str">
        <f>'Used Language'!$C$164</f>
        <v>from</v>
      </c>
      <c r="F56" s="407">
        <f>PIs!F47*100</f>
        <v>0</v>
      </c>
      <c r="G56" s="392" t="s">
        <v>667</v>
      </c>
      <c r="H56" s="393" t="str">
        <f>'Used Language'!$C$165</f>
        <v>to</v>
      </c>
      <c r="I56" s="407">
        <f>IF(I33=0,0,I36/I33*100)</f>
        <v>0</v>
      </c>
      <c r="J56" s="753" t="str">
        <f>'Used Language'!$C$179</f>
        <v>% of System Input Volume</v>
      </c>
      <c r="K56" s="394"/>
    </row>
    <row r="57" spans="2:11" s="375" customFormat="1" ht="9" customHeight="1">
      <c r="B57" s="391"/>
      <c r="C57" s="392"/>
      <c r="D57" s="392"/>
      <c r="E57" s="392"/>
      <c r="F57" s="392"/>
      <c r="G57" s="392"/>
      <c r="H57" s="393"/>
      <c r="I57" s="392"/>
      <c r="J57" s="753"/>
      <c r="K57" s="394"/>
    </row>
    <row r="58" spans="2:11" s="375" customFormat="1" ht="15" customHeight="1">
      <c r="B58" s="391"/>
      <c r="C58" s="619" t="str">
        <f>'Used Language'!$C$178</f>
        <v>The value of NRW</v>
      </c>
      <c r="D58" s="754"/>
      <c r="E58" s="392"/>
      <c r="F58" s="392"/>
      <c r="G58" s="392"/>
      <c r="H58" s="393"/>
      <c r="I58" s="392"/>
      <c r="J58" s="392"/>
      <c r="K58" s="394"/>
    </row>
    <row r="59" spans="2:11" s="375" customFormat="1" ht="15" customHeight="1">
      <c r="B59" s="391"/>
      <c r="C59" s="755" t="str">
        <f>'Used Language'!$C$182</f>
        <v>will change approximately</v>
      </c>
      <c r="D59" s="756"/>
      <c r="E59" s="392" t="str">
        <f>'Used Language'!$C$164</f>
        <v>from</v>
      </c>
      <c r="F59" s="407">
        <f>PIs!F49*100</f>
        <v>0</v>
      </c>
      <c r="G59" s="392" t="s">
        <v>667</v>
      </c>
      <c r="H59" s="393" t="str">
        <f>'Used Language'!$C$165</f>
        <v>to</v>
      </c>
      <c r="I59" s="407">
        <f>IF(I53=0,0,(I41*365*'Financial Data'!G8+I47*365*'Financial Data'!G6+'Financial Data'!G13+'Financial Data'!G15)/I53*100)</f>
        <v>0</v>
      </c>
      <c r="J59" s="753" t="str">
        <f>'Used Language'!$C$180</f>
        <v>% of Total Annual Operating Cost</v>
      </c>
      <c r="K59" s="394"/>
    </row>
    <row r="60" spans="2:11" s="375" customFormat="1" ht="15" customHeight="1">
      <c r="B60" s="391"/>
      <c r="C60" s="392"/>
      <c r="D60" s="392"/>
      <c r="E60" s="392"/>
      <c r="F60" s="392"/>
      <c r="G60" s="392"/>
      <c r="H60" s="392"/>
      <c r="I60" s="392"/>
      <c r="J60" s="753"/>
      <c r="K60" s="394"/>
    </row>
    <row r="61" spans="2:11" s="375" customFormat="1" ht="9" customHeight="1" thickBot="1">
      <c r="B61" s="409"/>
      <c r="C61" s="410"/>
      <c r="D61" s="410"/>
      <c r="E61" s="410"/>
      <c r="F61" s="410"/>
      <c r="G61" s="410"/>
      <c r="H61" s="411"/>
      <c r="I61" s="410"/>
      <c r="J61" s="410"/>
      <c r="K61" s="412"/>
    </row>
  </sheetData>
  <sheetProtection algorithmName="SHA-512" hashValue="XcvUJI5krudiYYg+l+6Kfxda9G4hla6X4RP6/L6Jz9HsAq1i9GfA9//2/D2SGIyDvAKECoZ341ciAPUBLz7htQ==" saltValue="ef1ME8LAfNt0dJqWsOarIg==" spinCount="100000" sheet="1" objects="1" scenarios="1"/>
  <mergeCells count="31">
    <mergeCell ref="C58:D58"/>
    <mergeCell ref="C59:D59"/>
    <mergeCell ref="C50:D50"/>
    <mergeCell ref="C52:D52"/>
    <mergeCell ref="C53:D53"/>
    <mergeCell ref="C55:D55"/>
    <mergeCell ref="C56:D56"/>
    <mergeCell ref="C40:D40"/>
    <mergeCell ref="C41:D41"/>
    <mergeCell ref="C46:D46"/>
    <mergeCell ref="C47:D47"/>
    <mergeCell ref="C49:D49"/>
    <mergeCell ref="C43:D43"/>
    <mergeCell ref="C44:D44"/>
    <mergeCell ref="C30:D30"/>
    <mergeCell ref="C32:D32"/>
    <mergeCell ref="C33:D33"/>
    <mergeCell ref="C35:D35"/>
    <mergeCell ref="C36:D36"/>
    <mergeCell ref="C23:D23"/>
    <mergeCell ref="C24:D24"/>
    <mergeCell ref="C26:D26"/>
    <mergeCell ref="C27:D27"/>
    <mergeCell ref="C29:D29"/>
    <mergeCell ref="J59:J60"/>
    <mergeCell ref="J56:J57"/>
    <mergeCell ref="M2:O2"/>
    <mergeCell ref="G38:G39"/>
    <mergeCell ref="J38:J39"/>
    <mergeCell ref="G15:G16"/>
    <mergeCell ref="J15:J16"/>
  </mergeCells>
  <phoneticPr fontId="25" type="noConversion"/>
  <hyperlinks>
    <hyperlink ref="M2:M3" location="Start!A1" display="Home"/>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dimension ref="A1:Q45"/>
  <sheetViews>
    <sheetView showZeros="0" workbookViewId="0">
      <pane xSplit="3" ySplit="1" topLeftCell="D2" activePane="bottomRight" state="frozen"/>
      <selection pane="topRight" activeCell="D1" sqref="D1"/>
      <selection pane="bottomLeft" activeCell="A2" sqref="A2"/>
      <selection pane="bottomRight"/>
    </sheetView>
  </sheetViews>
  <sheetFormatPr baseColWidth="10" defaultColWidth="11.453125" defaultRowHeight="14.5"/>
  <cols>
    <col min="1" max="1" width="45.1796875" style="349" customWidth="1"/>
    <col min="2" max="2" width="9" style="349" customWidth="1"/>
    <col min="3" max="3" width="11.26953125" style="349" customWidth="1"/>
    <col min="4" max="13" width="14.7265625" style="330" customWidth="1"/>
    <col min="14" max="16384" width="11.453125" style="330"/>
  </cols>
  <sheetData>
    <row r="1" spans="1:17" ht="118.9" customHeight="1" thickBot="1">
      <c r="A1" s="326" t="str">
        <f>'Used Language'!C196</f>
        <v>Store up to 10 years of data and copy/paste easily to other Excel sheets!</v>
      </c>
      <c r="B1" s="327"/>
      <c r="C1" s="328">
        <f>Start!P17</f>
        <v>0</v>
      </c>
      <c r="D1" s="329" t="str">
        <f>'Used Language'!C197</f>
        <v>Click the button to copy "Present" to this column</v>
      </c>
      <c r="E1" s="329" t="str">
        <f>D1</f>
        <v>Click the button to copy "Present" to this column</v>
      </c>
      <c r="F1" s="329" t="str">
        <f t="shared" ref="F1:M1" si="0">E1</f>
        <v>Click the button to copy "Present" to this column</v>
      </c>
      <c r="G1" s="329" t="str">
        <f t="shared" si="0"/>
        <v>Click the button to copy "Present" to this column</v>
      </c>
      <c r="H1" s="329" t="str">
        <f t="shared" si="0"/>
        <v>Click the button to copy "Present" to this column</v>
      </c>
      <c r="I1" s="329" t="str">
        <f t="shared" si="0"/>
        <v>Click the button to copy "Present" to this column</v>
      </c>
      <c r="J1" s="329" t="str">
        <f t="shared" si="0"/>
        <v>Click the button to copy "Present" to this column</v>
      </c>
      <c r="K1" s="329" t="str">
        <f t="shared" si="0"/>
        <v>Click the button to copy "Present" to this column</v>
      </c>
      <c r="L1" s="329" t="str">
        <f t="shared" si="0"/>
        <v>Click the button to copy "Present" to this column</v>
      </c>
      <c r="M1" s="329" t="str">
        <f t="shared" si="0"/>
        <v>Click the button to copy "Present" to this column</v>
      </c>
    </row>
    <row r="2" spans="1:17" s="335" customFormat="1" ht="20.25" customHeight="1" thickTop="1">
      <c r="A2" s="331"/>
      <c r="B2" s="331"/>
      <c r="C2" s="332" t="str">
        <f>'Used Language'!C198</f>
        <v>Present</v>
      </c>
      <c r="D2" s="333"/>
      <c r="E2" s="334"/>
      <c r="F2" s="333"/>
      <c r="G2" s="334"/>
      <c r="H2" s="333"/>
      <c r="I2" s="334"/>
      <c r="J2" s="333"/>
      <c r="K2" s="334"/>
      <c r="L2" s="333"/>
      <c r="M2" s="334"/>
      <c r="O2" s="555" t="str">
        <f>'Used Language'!C128</f>
        <v>Home</v>
      </c>
      <c r="P2" s="555"/>
      <c r="Q2" s="330"/>
    </row>
    <row r="3" spans="1:17" s="340" customFormat="1" ht="15" customHeight="1">
      <c r="A3" s="337" t="str">
        <f>'Water Balance m3day'!B18</f>
        <v>System Input Volume</v>
      </c>
      <c r="B3" s="337" t="str">
        <f>'Water Balance m3day'!G19</f>
        <v>m3/day</v>
      </c>
      <c r="C3" s="344">
        <f>'Water Balance m3day'!B19</f>
        <v>0</v>
      </c>
      <c r="D3" s="338"/>
      <c r="E3" s="339"/>
      <c r="F3" s="338"/>
      <c r="G3" s="339"/>
      <c r="H3" s="338"/>
      <c r="I3" s="339"/>
      <c r="J3" s="338"/>
      <c r="K3" s="339"/>
      <c r="L3" s="338"/>
      <c r="M3" s="339"/>
      <c r="O3" s="558"/>
      <c r="P3" s="558"/>
    </row>
    <row r="4" spans="1:17" s="340" customFormat="1" ht="15" customHeight="1">
      <c r="A4" s="337" t="str">
        <f>'Water Balance m3day'!K9</f>
        <v>Authorized Consumption</v>
      </c>
      <c r="B4" s="337" t="str">
        <f>$B$3</f>
        <v>m3/day</v>
      </c>
      <c r="C4" s="344">
        <f>'Water Balance m3day'!K12</f>
        <v>0</v>
      </c>
      <c r="D4" s="338"/>
      <c r="E4" s="339"/>
      <c r="F4" s="338"/>
      <c r="G4" s="339"/>
      <c r="H4" s="338"/>
      <c r="I4" s="339"/>
      <c r="J4" s="338"/>
      <c r="K4" s="339"/>
      <c r="L4" s="338"/>
      <c r="M4" s="339"/>
    </row>
    <row r="5" spans="1:17" s="340" customFormat="1" ht="15" customHeight="1">
      <c r="A5" s="337" t="str">
        <f>'Water Balance m3day'!K28</f>
        <v>Water Losses</v>
      </c>
      <c r="B5" s="337" t="str">
        <f>$B$3</f>
        <v>m3/day</v>
      </c>
      <c r="C5" s="344">
        <f>'Water Balance m3day'!K29</f>
        <v>0</v>
      </c>
      <c r="D5" s="338"/>
      <c r="E5" s="339"/>
      <c r="F5" s="338"/>
      <c r="G5" s="339"/>
      <c r="H5" s="338"/>
      <c r="I5" s="339"/>
      <c r="J5" s="338"/>
      <c r="K5" s="339"/>
      <c r="L5" s="338"/>
      <c r="M5" s="339"/>
    </row>
    <row r="6" spans="1:17" s="340" customFormat="1" ht="15" customHeight="1">
      <c r="A6" s="337"/>
      <c r="B6" s="337"/>
      <c r="C6" s="337"/>
      <c r="D6" s="338"/>
      <c r="E6" s="339"/>
      <c r="F6" s="338"/>
      <c r="G6" s="339"/>
      <c r="H6" s="338"/>
      <c r="I6" s="339"/>
      <c r="J6" s="338"/>
      <c r="K6" s="339"/>
      <c r="L6" s="338"/>
      <c r="M6" s="339"/>
    </row>
    <row r="7" spans="1:17" s="340" customFormat="1" ht="15" customHeight="1">
      <c r="A7" s="337" t="str">
        <f>'Water Balance m3day'!T3</f>
        <v>Billed Authorized Consumption</v>
      </c>
      <c r="B7" s="337" t="str">
        <f>$B$3</f>
        <v>m3/day</v>
      </c>
      <c r="C7" s="344">
        <f>'Water Balance m3day'!T8</f>
        <v>0</v>
      </c>
      <c r="D7" s="338"/>
      <c r="E7" s="339"/>
      <c r="F7" s="338"/>
      <c r="G7" s="339"/>
      <c r="H7" s="338"/>
      <c r="I7" s="339"/>
      <c r="J7" s="338"/>
      <c r="K7" s="339"/>
      <c r="L7" s="338"/>
      <c r="M7" s="339"/>
    </row>
    <row r="8" spans="1:17" s="340" customFormat="1" ht="15" customHeight="1">
      <c r="A8" s="337" t="str">
        <f>'Water Balance m3day'!T13</f>
        <v>Unbilled Authorized Consumption</v>
      </c>
      <c r="B8" s="337" t="str">
        <f>$B7</f>
        <v>m3/day</v>
      </c>
      <c r="C8" s="344">
        <f>'Water Balance m3day'!T16</f>
        <v>0</v>
      </c>
      <c r="D8" s="338"/>
      <c r="E8" s="339"/>
      <c r="F8" s="338"/>
      <c r="G8" s="339"/>
      <c r="H8" s="338"/>
      <c r="I8" s="339"/>
      <c r="J8" s="338"/>
      <c r="K8" s="339"/>
      <c r="L8" s="338"/>
      <c r="M8" s="339"/>
    </row>
    <row r="9" spans="1:17" s="340" customFormat="1" ht="15" customHeight="1">
      <c r="A9" s="337" t="str">
        <f>'Water Balance m3day'!T23</f>
        <v>Commercial Losses</v>
      </c>
      <c r="B9" s="337" t="str">
        <f>$B8</f>
        <v>m3/day</v>
      </c>
      <c r="C9" s="344">
        <f>'Water Balance m3day'!T26</f>
        <v>0</v>
      </c>
      <c r="D9" s="338"/>
      <c r="E9" s="339"/>
      <c r="F9" s="338"/>
      <c r="G9" s="339"/>
      <c r="H9" s="338"/>
      <c r="I9" s="339"/>
      <c r="J9" s="338"/>
      <c r="K9" s="339"/>
      <c r="L9" s="338"/>
      <c r="M9" s="339"/>
    </row>
    <row r="10" spans="1:17" s="340" customFormat="1">
      <c r="A10" s="337" t="str">
        <f>'Water Balance m3day'!T33</f>
        <v>Physical Losses</v>
      </c>
      <c r="B10" s="337" t="str">
        <f>$B$3</f>
        <v>m3/day</v>
      </c>
      <c r="C10" s="344">
        <f>'Water Balance m3day'!T34</f>
        <v>0</v>
      </c>
      <c r="D10" s="338"/>
      <c r="E10" s="339"/>
      <c r="F10" s="338"/>
      <c r="G10" s="339"/>
      <c r="H10" s="338"/>
      <c r="I10" s="339"/>
      <c r="J10" s="338"/>
      <c r="K10" s="339"/>
      <c r="L10" s="338"/>
      <c r="M10" s="339"/>
    </row>
    <row r="11" spans="1:17" s="340" customFormat="1">
      <c r="A11" s="337"/>
      <c r="B11" s="337"/>
      <c r="C11" s="337"/>
      <c r="D11" s="338"/>
      <c r="E11" s="339"/>
      <c r="F11" s="338"/>
      <c r="G11" s="339"/>
      <c r="H11" s="338"/>
      <c r="I11" s="339"/>
      <c r="J11" s="338"/>
      <c r="K11" s="339"/>
      <c r="L11" s="338"/>
      <c r="M11" s="339"/>
    </row>
    <row r="12" spans="1:17" s="340" customFormat="1">
      <c r="A12" s="337" t="str">
        <f>'Water Balance m3day'!AC3</f>
        <v>Billed Metered Consumption</v>
      </c>
      <c r="B12" s="337" t="str">
        <f t="shared" ref="B12:B18" si="1">$B$3</f>
        <v>m3/day</v>
      </c>
      <c r="C12" s="344">
        <f>'Water Balance m3day'!AC4</f>
        <v>0</v>
      </c>
      <c r="D12" s="338"/>
      <c r="E12" s="339"/>
      <c r="F12" s="338"/>
      <c r="G12" s="339"/>
      <c r="H12" s="338"/>
      <c r="I12" s="339"/>
      <c r="J12" s="338"/>
      <c r="K12" s="339"/>
      <c r="L12" s="338"/>
      <c r="M12" s="339"/>
    </row>
    <row r="13" spans="1:17" s="340" customFormat="1">
      <c r="A13" s="337" t="str">
        <f>'Water Balance m3day'!AC8</f>
        <v>Billed Unmetered Consumption</v>
      </c>
      <c r="B13" s="337" t="str">
        <f t="shared" si="1"/>
        <v>m3/day</v>
      </c>
      <c r="C13" s="344">
        <f>'Water Balance m3day'!AC9</f>
        <v>0</v>
      </c>
      <c r="D13" s="338"/>
      <c r="E13" s="339"/>
      <c r="F13" s="338"/>
      <c r="G13" s="339"/>
      <c r="H13" s="338"/>
      <c r="I13" s="339"/>
      <c r="J13" s="338"/>
      <c r="K13" s="339"/>
      <c r="L13" s="338"/>
      <c r="M13" s="339"/>
    </row>
    <row r="14" spans="1:17" s="340" customFormat="1">
      <c r="A14" s="337" t="str">
        <f>'Water Balance m3day'!AC13</f>
        <v>Unbilled Metered Consumption</v>
      </c>
      <c r="B14" s="337" t="str">
        <f t="shared" si="1"/>
        <v>m3/day</v>
      </c>
      <c r="C14" s="344">
        <f>'Water Balance m3day'!AC14</f>
        <v>0</v>
      </c>
      <c r="D14" s="338"/>
      <c r="E14" s="339"/>
      <c r="F14" s="338"/>
      <c r="G14" s="339"/>
      <c r="H14" s="338"/>
      <c r="I14" s="339"/>
      <c r="J14" s="338"/>
      <c r="K14" s="339"/>
      <c r="L14" s="338"/>
      <c r="M14" s="339"/>
    </row>
    <row r="15" spans="1:17" s="340" customFormat="1">
      <c r="A15" s="337" t="str">
        <f>'Water Balance m3day'!AC18</f>
        <v>Unbilled Unmetered Consumption</v>
      </c>
      <c r="B15" s="337" t="str">
        <f t="shared" si="1"/>
        <v>m3/day</v>
      </c>
      <c r="C15" s="344">
        <f>'Water Balance m3day'!AC19</f>
        <v>0</v>
      </c>
      <c r="D15" s="338"/>
      <c r="E15" s="339"/>
      <c r="F15" s="338"/>
      <c r="G15" s="339"/>
      <c r="H15" s="338"/>
      <c r="I15" s="339"/>
      <c r="J15" s="338"/>
      <c r="K15" s="339"/>
      <c r="L15" s="338"/>
      <c r="M15" s="339"/>
    </row>
    <row r="16" spans="1:17" s="340" customFormat="1">
      <c r="A16" s="337" t="str">
        <f>'Water Balance m3day'!AC23</f>
        <v>Unauthorized Consumption</v>
      </c>
      <c r="B16" s="337" t="str">
        <f t="shared" si="1"/>
        <v>m3/day</v>
      </c>
      <c r="C16" s="344">
        <f>'Water Balance m3day'!AC24</f>
        <v>0</v>
      </c>
      <c r="D16" s="338"/>
      <c r="E16" s="339"/>
      <c r="F16" s="338"/>
      <c r="G16" s="339"/>
      <c r="H16" s="338"/>
      <c r="I16" s="339"/>
      <c r="J16" s="338"/>
      <c r="K16" s="339"/>
      <c r="L16" s="338"/>
      <c r="M16" s="339"/>
    </row>
    <row r="17" spans="1:13" s="340" customFormat="1" ht="29">
      <c r="A17" s="337" t="str">
        <f>'Water Balance m3day'!AC28</f>
        <v>Customer Meter Inaccuracies and Data Handling Errors</v>
      </c>
      <c r="B17" s="337" t="str">
        <f t="shared" si="1"/>
        <v>m3/day</v>
      </c>
      <c r="C17" s="344">
        <f>'Water Balance m3day'!AC29</f>
        <v>0</v>
      </c>
      <c r="D17" s="338"/>
      <c r="E17" s="339"/>
      <c r="F17" s="338"/>
      <c r="G17" s="339"/>
      <c r="H17" s="338"/>
      <c r="I17" s="339"/>
      <c r="J17" s="338"/>
      <c r="K17" s="339"/>
      <c r="L17" s="338"/>
      <c r="M17" s="339"/>
    </row>
    <row r="18" spans="1:13" s="340" customFormat="1">
      <c r="A18" s="337" t="str">
        <f>'Water Balance m3day'!T33</f>
        <v>Physical Losses</v>
      </c>
      <c r="B18" s="337" t="str">
        <f t="shared" si="1"/>
        <v>m3/day</v>
      </c>
      <c r="C18" s="344">
        <f>C10</f>
        <v>0</v>
      </c>
      <c r="D18" s="338"/>
      <c r="E18" s="339"/>
      <c r="F18" s="338"/>
      <c r="G18" s="339"/>
      <c r="H18" s="338"/>
      <c r="I18" s="339"/>
      <c r="J18" s="338"/>
      <c r="K18" s="339"/>
      <c r="L18" s="338"/>
      <c r="M18" s="339"/>
    </row>
    <row r="19" spans="1:13" s="340" customFormat="1">
      <c r="A19" s="337"/>
      <c r="B19" s="337"/>
      <c r="C19" s="337"/>
      <c r="D19" s="338"/>
      <c r="E19" s="339"/>
      <c r="F19" s="338"/>
      <c r="G19" s="339"/>
      <c r="H19" s="338"/>
      <c r="I19" s="339"/>
      <c r="J19" s="338"/>
      <c r="K19" s="339"/>
      <c r="L19" s="338"/>
      <c r="M19" s="339"/>
    </row>
    <row r="20" spans="1:13" s="340" customFormat="1">
      <c r="A20" s="337" t="str">
        <f>'Water Balance m3day'!AY3</f>
        <v>Revenue Water</v>
      </c>
      <c r="B20" s="337" t="str">
        <f>$B$3</f>
        <v>m3/day</v>
      </c>
      <c r="C20" s="344">
        <f>'Water Balance m3day'!AY8</f>
        <v>0</v>
      </c>
      <c r="D20" s="338"/>
      <c r="E20" s="339"/>
      <c r="F20" s="338"/>
      <c r="G20" s="339"/>
      <c r="H20" s="338"/>
      <c r="I20" s="339"/>
      <c r="J20" s="338"/>
      <c r="K20" s="339"/>
      <c r="L20" s="338"/>
      <c r="M20" s="339"/>
    </row>
    <row r="21" spans="1:13" s="340" customFormat="1">
      <c r="A21" s="337" t="str">
        <f>'Water Balance m3day'!AY21</f>
        <v>Non-Revenue Water</v>
      </c>
      <c r="B21" s="337" t="str">
        <f>$B$3</f>
        <v>m3/day</v>
      </c>
      <c r="C21" s="344">
        <f>'Water Balance m3day'!AY24</f>
        <v>0</v>
      </c>
      <c r="D21" s="338"/>
      <c r="E21" s="339"/>
      <c r="F21" s="338"/>
      <c r="G21" s="339"/>
      <c r="H21" s="338"/>
      <c r="I21" s="339"/>
      <c r="J21" s="338"/>
      <c r="K21" s="339"/>
      <c r="L21" s="338"/>
      <c r="M21" s="339"/>
    </row>
    <row r="22" spans="1:13" s="340" customFormat="1">
      <c r="A22" s="337"/>
      <c r="B22" s="337"/>
      <c r="C22" s="337"/>
      <c r="D22" s="338"/>
      <c r="E22" s="339"/>
      <c r="F22" s="338"/>
      <c r="G22" s="339"/>
      <c r="H22" s="338"/>
      <c r="I22" s="339"/>
      <c r="J22" s="338"/>
      <c r="K22" s="339"/>
      <c r="L22" s="338"/>
      <c r="M22" s="339"/>
    </row>
    <row r="23" spans="1:13" s="340" customFormat="1">
      <c r="A23" s="337" t="str">
        <f>Network!B32</f>
        <v>Pipe Length [km]</v>
      </c>
      <c r="B23" s="337"/>
      <c r="C23" s="337">
        <f>Network!D37</f>
        <v>0</v>
      </c>
      <c r="D23" s="338"/>
      <c r="E23" s="339"/>
      <c r="F23" s="338"/>
      <c r="G23" s="339"/>
      <c r="H23" s="338"/>
      <c r="I23" s="339"/>
      <c r="J23" s="338"/>
      <c r="K23" s="339"/>
      <c r="L23" s="338"/>
      <c r="M23" s="339"/>
    </row>
    <row r="24" spans="1:13" s="340" customFormat="1">
      <c r="A24" s="337" t="str">
        <f>Network!F25</f>
        <v>Number of Connections</v>
      </c>
      <c r="B24" s="337"/>
      <c r="C24" s="344">
        <f>Network!H30</f>
        <v>0</v>
      </c>
      <c r="D24" s="338"/>
      <c r="E24" s="339"/>
      <c r="F24" s="338"/>
      <c r="G24" s="339"/>
      <c r="H24" s="338"/>
      <c r="I24" s="339"/>
      <c r="J24" s="338"/>
      <c r="K24" s="339"/>
      <c r="L24" s="338"/>
      <c r="M24" s="339"/>
    </row>
    <row r="25" spans="1:13" s="340" customFormat="1">
      <c r="A25" s="337" t="str">
        <f>Pressure!B28</f>
        <v>Average Pressure [m]</v>
      </c>
      <c r="B25" s="337"/>
      <c r="C25" s="337">
        <f>Pressure!F33</f>
        <v>0</v>
      </c>
      <c r="D25" s="338"/>
      <c r="E25" s="339"/>
      <c r="F25" s="338"/>
      <c r="G25" s="339"/>
      <c r="H25" s="338"/>
      <c r="I25" s="339"/>
      <c r="J25" s="338"/>
      <c r="K25" s="339"/>
      <c r="L25" s="338"/>
      <c r="M25" s="339"/>
    </row>
    <row r="26" spans="1:13" s="340" customFormat="1">
      <c r="A26" s="337" t="str">
        <f>'Intermittent Supply'!B28</f>
        <v>Average Supply Time [h/day]</v>
      </c>
      <c r="B26" s="337"/>
      <c r="C26" s="337">
        <f>'Intermittent Supply'!H33</f>
        <v>24</v>
      </c>
      <c r="D26" s="338"/>
      <c r="E26" s="339"/>
      <c r="F26" s="338"/>
      <c r="G26" s="339"/>
      <c r="H26" s="338"/>
      <c r="I26" s="339"/>
      <c r="J26" s="338"/>
      <c r="K26" s="339"/>
      <c r="L26" s="338"/>
      <c r="M26" s="339"/>
    </row>
    <row r="27" spans="1:13" s="340" customFormat="1">
      <c r="A27" s="337"/>
      <c r="B27" s="337"/>
      <c r="C27" s="337"/>
      <c r="D27" s="338"/>
      <c r="E27" s="339"/>
      <c r="F27" s="338"/>
      <c r="G27" s="339"/>
      <c r="H27" s="338"/>
      <c r="I27" s="339"/>
      <c r="J27" s="338"/>
      <c r="K27" s="339"/>
      <c r="L27" s="338"/>
      <c r="M27" s="339"/>
    </row>
    <row r="28" spans="1:13" s="340" customFormat="1">
      <c r="A28" s="336" t="str">
        <f>'Used Language'!C22</f>
        <v>Physical Losses</v>
      </c>
      <c r="B28" s="337"/>
      <c r="C28" s="337"/>
      <c r="D28" s="338"/>
      <c r="E28" s="339"/>
      <c r="F28" s="338"/>
      <c r="G28" s="339"/>
      <c r="H28" s="338"/>
      <c r="I28" s="339"/>
      <c r="J28" s="338"/>
      <c r="K28" s="339"/>
      <c r="L28" s="338"/>
      <c r="M28" s="339"/>
    </row>
    <row r="29" spans="1:13" s="340" customFormat="1">
      <c r="A29" s="337" t="str">
        <f>PIs!B25</f>
        <v>Infrastructure Leakage Index (ILI)</v>
      </c>
      <c r="B29" s="337"/>
      <c r="C29" s="484">
        <f>PIs!F25</f>
        <v>0</v>
      </c>
      <c r="D29" s="338"/>
      <c r="E29" s="339"/>
      <c r="F29" s="338"/>
      <c r="G29" s="339"/>
      <c r="H29" s="338"/>
      <c r="I29" s="339"/>
      <c r="J29" s="338"/>
      <c r="K29" s="339"/>
      <c r="L29" s="338"/>
      <c r="M29" s="339"/>
    </row>
    <row r="30" spans="1:13" s="340" customFormat="1" ht="15" customHeight="1">
      <c r="A30" s="485" t="str">
        <f>PIs!B27</f>
        <v>Liters per Connection per Day (w.s.p.)
w.s.p.: when the system is pressurized - this means the value is already corrected in the case of intermittent supply</v>
      </c>
      <c r="B30" s="485"/>
      <c r="C30" s="344">
        <f>PIs!F27</f>
        <v>0</v>
      </c>
      <c r="D30" s="338"/>
      <c r="E30" s="339"/>
      <c r="F30" s="338"/>
      <c r="G30" s="339"/>
      <c r="H30" s="338"/>
      <c r="I30" s="339"/>
      <c r="J30" s="338"/>
      <c r="K30" s="339"/>
      <c r="L30" s="338"/>
      <c r="M30" s="339"/>
    </row>
    <row r="31" spans="1:13" s="340" customFormat="1" ht="30" customHeight="1">
      <c r="A31" s="337" t="str">
        <f>PIs!B29</f>
        <v>Liters per Connection per Day per meter Pressure (w.s.p.)</v>
      </c>
      <c r="B31" s="337"/>
      <c r="C31" s="344">
        <f>PIs!F29</f>
        <v>0</v>
      </c>
      <c r="D31" s="338"/>
      <c r="E31" s="339"/>
      <c r="F31" s="338"/>
      <c r="G31" s="339"/>
      <c r="H31" s="338"/>
      <c r="I31" s="339"/>
      <c r="J31" s="338"/>
      <c r="K31" s="339"/>
      <c r="L31" s="338"/>
      <c r="M31" s="339"/>
    </row>
    <row r="32" spans="1:13" s="340" customFormat="1">
      <c r="A32" s="337" t="str">
        <f>PIs!B31</f>
        <v>m3/km mains per hour (w.s.p.)</v>
      </c>
      <c r="B32" s="337"/>
      <c r="C32" s="486">
        <f>PIs!F31</f>
        <v>0</v>
      </c>
      <c r="D32" s="487"/>
      <c r="E32" s="488"/>
      <c r="F32" s="487"/>
      <c r="G32" s="488"/>
      <c r="H32" s="487"/>
      <c r="I32" s="488"/>
      <c r="J32" s="487"/>
      <c r="K32" s="488"/>
      <c r="L32" s="487"/>
      <c r="M32" s="488"/>
    </row>
    <row r="33" spans="1:13" s="340" customFormat="1">
      <c r="A33" s="337"/>
      <c r="B33" s="337"/>
      <c r="C33" s="486"/>
      <c r="D33" s="338"/>
      <c r="E33" s="339"/>
      <c r="F33" s="338"/>
      <c r="G33" s="339"/>
      <c r="H33" s="338"/>
      <c r="I33" s="339"/>
      <c r="J33" s="338"/>
      <c r="K33" s="339"/>
      <c r="L33" s="338"/>
      <c r="M33" s="339"/>
    </row>
    <row r="34" spans="1:13" s="340" customFormat="1">
      <c r="A34" s="336" t="str">
        <f>'Used Language'!C21</f>
        <v>Commercial Losses</v>
      </c>
      <c r="B34" s="337"/>
      <c r="C34" s="337"/>
      <c r="D34" s="338"/>
      <c r="E34" s="339"/>
      <c r="F34" s="338"/>
      <c r="G34" s="339"/>
      <c r="H34" s="338"/>
      <c r="I34" s="339"/>
      <c r="J34" s="338"/>
      <c r="K34" s="339"/>
      <c r="L34" s="338"/>
      <c r="M34" s="339"/>
    </row>
    <row r="35" spans="1:13" s="340" customFormat="1" ht="30.65" customHeight="1">
      <c r="A35" s="337" t="str">
        <f>PIs!B37</f>
        <v>Commercial Losses expressed in % of Authorized Consumption</v>
      </c>
      <c r="B35" s="337"/>
      <c r="C35" s="341">
        <f>PIs!F37</f>
        <v>0</v>
      </c>
      <c r="D35" s="342"/>
      <c r="E35" s="343"/>
      <c r="F35" s="342"/>
      <c r="G35" s="343"/>
      <c r="H35" s="342"/>
      <c r="I35" s="343"/>
      <c r="J35" s="342"/>
      <c r="K35" s="343"/>
      <c r="L35" s="342"/>
      <c r="M35" s="343"/>
    </row>
    <row r="36" spans="1:13" s="340" customFormat="1">
      <c r="A36" s="337" t="str">
        <f>PIs!B39</f>
        <v>liters/connection/day</v>
      </c>
      <c r="B36" s="337"/>
      <c r="C36" s="344">
        <f>PIs!F39</f>
        <v>0</v>
      </c>
      <c r="D36" s="338"/>
      <c r="E36" s="339"/>
      <c r="F36" s="338"/>
      <c r="G36" s="339"/>
      <c r="H36" s="338"/>
      <c r="I36" s="339"/>
      <c r="J36" s="338"/>
      <c r="K36" s="339"/>
      <c r="L36" s="338"/>
      <c r="M36" s="339"/>
    </row>
    <row r="37" spans="1:13" s="340" customFormat="1">
      <c r="A37" s="337" t="str">
        <f>PIs!B41</f>
        <v>liters/customer/day</v>
      </c>
      <c r="B37" s="337"/>
      <c r="C37" s="344">
        <f>PIs!F41</f>
        <v>0</v>
      </c>
      <c r="D37" s="338"/>
      <c r="E37" s="339"/>
      <c r="F37" s="338"/>
      <c r="G37" s="339"/>
      <c r="H37" s="338"/>
      <c r="I37" s="339"/>
      <c r="J37" s="338"/>
      <c r="K37" s="339"/>
      <c r="L37" s="338"/>
      <c r="M37" s="339"/>
    </row>
    <row r="38" spans="1:13" s="340" customFormat="1">
      <c r="A38" s="337"/>
      <c r="B38" s="337"/>
      <c r="C38" s="337"/>
      <c r="D38" s="338"/>
      <c r="E38" s="339"/>
      <c r="F38" s="338"/>
      <c r="G38" s="339"/>
      <c r="H38" s="338"/>
      <c r="I38" s="339"/>
      <c r="J38" s="338"/>
      <c r="K38" s="339"/>
      <c r="L38" s="338"/>
      <c r="M38" s="339"/>
    </row>
    <row r="39" spans="1:13" s="340" customFormat="1" ht="32.5" customHeight="1">
      <c r="A39" s="337" t="str">
        <f>PIs!B47</f>
        <v>Volume of Non-Revenue Water expressed in % of System Input Volume</v>
      </c>
      <c r="B39" s="337"/>
      <c r="C39" s="345">
        <f>PIs!F47</f>
        <v>0</v>
      </c>
      <c r="D39" s="342"/>
      <c r="E39" s="343"/>
      <c r="F39" s="342"/>
      <c r="G39" s="343"/>
      <c r="H39" s="342"/>
      <c r="I39" s="343"/>
      <c r="J39" s="342"/>
      <c r="K39" s="343"/>
      <c r="L39" s="342"/>
      <c r="M39" s="343"/>
    </row>
    <row r="40" spans="1:13" s="340" customFormat="1" ht="32.5" customHeight="1">
      <c r="A40" s="337" t="str">
        <f>PIs!B49</f>
        <v>Value of Non-Revenue Water expressed in % of Annual Operating Cost</v>
      </c>
      <c r="B40" s="337"/>
      <c r="C40" s="345">
        <f>PIs!F49</f>
        <v>0</v>
      </c>
      <c r="D40" s="342"/>
      <c r="E40" s="343"/>
      <c r="F40" s="342"/>
      <c r="G40" s="343"/>
      <c r="H40" s="342"/>
      <c r="I40" s="343"/>
      <c r="J40" s="342"/>
      <c r="K40" s="343"/>
      <c r="L40" s="342"/>
      <c r="M40" s="343"/>
    </row>
    <row r="41" spans="1:13" s="340" customFormat="1" ht="82.5" customHeight="1">
      <c r="A41" s="337" t="str">
        <f>PIs!B51</f>
        <v>Liters per Connection per Day (w.s.p.)
w.s.p.: when the system is pressurized - this means the value is already corrected in the case of intermittent supply</v>
      </c>
      <c r="B41" s="337"/>
      <c r="C41" s="344">
        <f>PIs!F51</f>
        <v>0</v>
      </c>
      <c r="D41" s="338"/>
      <c r="E41" s="339"/>
      <c r="F41" s="338"/>
      <c r="G41" s="339"/>
      <c r="H41" s="338"/>
      <c r="I41" s="339"/>
      <c r="J41" s="338"/>
      <c r="K41" s="339"/>
      <c r="L41" s="338"/>
      <c r="M41" s="339"/>
    </row>
    <row r="42" spans="1:13" s="347" customFormat="1">
      <c r="A42" s="346"/>
      <c r="B42" s="346"/>
      <c r="C42" s="346">
        <f>Start!O65</f>
        <v>0</v>
      </c>
      <c r="E42" s="347">
        <v>0</v>
      </c>
    </row>
    <row r="43" spans="1:13" s="340" customFormat="1">
      <c r="A43" s="348"/>
      <c r="B43" s="348"/>
      <c r="C43" s="348"/>
    </row>
    <row r="44" spans="1:13" s="340" customFormat="1">
      <c r="A44" s="348"/>
      <c r="B44" s="348"/>
      <c r="C44" s="348"/>
    </row>
    <row r="45" spans="1:13" s="340" customFormat="1">
      <c r="A45" s="348"/>
      <c r="B45" s="348"/>
      <c r="C45" s="348"/>
    </row>
  </sheetData>
  <sheetProtection algorithmName="SHA-512" hashValue="lTCjj7IpyScnMh3MTt7azTWOs1LuZIUUyA8rpbRl/usIT2QTeHTQZTvIGnhT+0YyfNz4hEjDkJwEz6UB1kX/sA==" saltValue="OZIqzyEas/UwBMgFXOhe3w==" spinCount="100000" sheet="1" objects="1" scenarios="1"/>
  <mergeCells count="1">
    <mergeCell ref="O2:P3"/>
  </mergeCells>
  <hyperlinks>
    <hyperlink ref="O2" location="Start!A1" display="Home"/>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171450</xdr:colOff>
                    <xdr:row>0</xdr:row>
                    <xdr:rowOff>1123950</xdr:rowOff>
                  </from>
                  <to>
                    <xdr:col>3</xdr:col>
                    <xdr:colOff>857250</xdr:colOff>
                    <xdr:row>0</xdr:row>
                    <xdr:rowOff>1428750</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133350</xdr:colOff>
                    <xdr:row>0</xdr:row>
                    <xdr:rowOff>1123950</xdr:rowOff>
                  </from>
                  <to>
                    <xdr:col>4</xdr:col>
                    <xdr:colOff>819150</xdr:colOff>
                    <xdr:row>0</xdr:row>
                    <xdr:rowOff>1428750</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133350</xdr:colOff>
                    <xdr:row>0</xdr:row>
                    <xdr:rowOff>1123950</xdr:rowOff>
                  </from>
                  <to>
                    <xdr:col>5</xdr:col>
                    <xdr:colOff>819150</xdr:colOff>
                    <xdr:row>0</xdr:row>
                    <xdr:rowOff>1428750</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133350</xdr:colOff>
                    <xdr:row>0</xdr:row>
                    <xdr:rowOff>1123950</xdr:rowOff>
                  </from>
                  <to>
                    <xdr:col>6</xdr:col>
                    <xdr:colOff>819150</xdr:colOff>
                    <xdr:row>0</xdr:row>
                    <xdr:rowOff>1428750</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133350</xdr:colOff>
                    <xdr:row>0</xdr:row>
                    <xdr:rowOff>1123950</xdr:rowOff>
                  </from>
                  <to>
                    <xdr:col>7</xdr:col>
                    <xdr:colOff>819150</xdr:colOff>
                    <xdr:row>0</xdr:row>
                    <xdr:rowOff>1428750</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133350</xdr:colOff>
                    <xdr:row>0</xdr:row>
                    <xdr:rowOff>1123950</xdr:rowOff>
                  </from>
                  <to>
                    <xdr:col>8</xdr:col>
                    <xdr:colOff>819150</xdr:colOff>
                    <xdr:row>0</xdr:row>
                    <xdr:rowOff>1428750</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133350</xdr:colOff>
                    <xdr:row>0</xdr:row>
                    <xdr:rowOff>1123950</xdr:rowOff>
                  </from>
                  <to>
                    <xdr:col>9</xdr:col>
                    <xdr:colOff>819150</xdr:colOff>
                    <xdr:row>0</xdr:row>
                    <xdr:rowOff>1428750</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133350</xdr:colOff>
                    <xdr:row>0</xdr:row>
                    <xdr:rowOff>1123950</xdr:rowOff>
                  </from>
                  <to>
                    <xdr:col>10</xdr:col>
                    <xdr:colOff>819150</xdr:colOff>
                    <xdr:row>0</xdr:row>
                    <xdr:rowOff>1428750</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133350</xdr:colOff>
                    <xdr:row>0</xdr:row>
                    <xdr:rowOff>1123950</xdr:rowOff>
                  </from>
                  <to>
                    <xdr:col>11</xdr:col>
                    <xdr:colOff>819150</xdr:colOff>
                    <xdr:row>0</xdr:row>
                    <xdr:rowOff>1428750</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133350</xdr:colOff>
                    <xdr:row>0</xdr:row>
                    <xdr:rowOff>1123950</xdr:rowOff>
                  </from>
                  <to>
                    <xdr:col>12</xdr:col>
                    <xdr:colOff>819150</xdr:colOff>
                    <xdr:row>0</xdr:row>
                    <xdr:rowOff>1428750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B1:J54"/>
  <sheetViews>
    <sheetView topLeftCell="A47" workbookViewId="0">
      <selection activeCell="B58" sqref="B58"/>
    </sheetView>
  </sheetViews>
  <sheetFormatPr baseColWidth="10" defaultColWidth="11.453125" defaultRowHeight="14.5"/>
  <cols>
    <col min="1" max="1" width="2.26953125" style="145" customWidth="1"/>
    <col min="2" max="2" width="110.453125" style="145" customWidth="1"/>
    <col min="3" max="3" width="3.1796875" style="145" customWidth="1"/>
    <col min="4" max="4" width="14.1796875" style="145" customWidth="1"/>
    <col min="5" max="16384" width="11.453125" style="145"/>
  </cols>
  <sheetData>
    <row r="1" spans="2:10" ht="15" thickBot="1"/>
    <row r="2" spans="2:10" ht="24" customHeight="1" thickTop="1">
      <c r="B2" s="325" t="str">
        <f>'Used Language'!C5</f>
        <v>Getting Started</v>
      </c>
      <c r="C2" s="96"/>
      <c r="D2" s="757" t="str">
        <f>'Used Language'!C128</f>
        <v>Home</v>
      </c>
      <c r="E2" s="758"/>
      <c r="F2" s="759"/>
      <c r="G2" s="96"/>
      <c r="H2" s="96"/>
      <c r="I2" s="96"/>
      <c r="J2" s="96"/>
    </row>
    <row r="3" spans="2:10" ht="13.5" customHeight="1">
      <c r="D3" s="760"/>
      <c r="E3" s="761"/>
      <c r="F3" s="762"/>
    </row>
    <row r="4" spans="2:10" ht="61.15" customHeight="1" thickBot="1">
      <c r="B4" s="145"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63"/>
      <c r="E4" s="764"/>
      <c r="F4" s="765"/>
    </row>
    <row r="5" spans="2:10" ht="68.5" customHeight="1" thickTop="1" thickBot="1">
      <c r="B5" s="145" t="str">
        <f>'Used Language'!C134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6" spans="2:10" ht="67.900000000000006" customHeight="1" thickTop="1" thickBot="1">
      <c r="B6" s="145" t="str">
        <f>'Used Language'!C135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D6" s="362" t="str">
        <f>'Used Language'!C15</f>
        <v>Change Language</v>
      </c>
    </row>
    <row r="7" spans="2:10" ht="35.25" customHeight="1" thickTop="1">
      <c r="B7" s="145" t="str">
        <f>'Used Language'!C136</f>
        <v>4.) WB-EasyCalc was optimized for a screen resolution of 1024 x 768 Pixel</v>
      </c>
    </row>
    <row r="8" spans="2:10" ht="23.25" customHeight="1">
      <c r="B8" s="145" t="str">
        <f>'Used Language'!C137</f>
        <v xml:space="preserve">5.) Color Coding: </v>
      </c>
    </row>
    <row r="9" spans="2:10">
      <c r="B9" s="323" t="str">
        <f>'Used Language'!C138</f>
        <v>white cells are for data entry</v>
      </c>
    </row>
    <row r="10" spans="2:10" ht="6" customHeight="1"/>
    <row r="11" spans="2:10">
      <c r="B11" s="71" t="str">
        <f>'Used Language'!C139</f>
        <v>dark blue cells are calculated values</v>
      </c>
    </row>
    <row r="12" spans="2:10" ht="61.15" customHeight="1">
      <c r="B12" s="145"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5" customHeight="1">
      <c r="B13" s="145" t="str">
        <f>'Used Language'!C141</f>
        <v>7.) The program is protected with passwords which will not be revealed.</v>
      </c>
    </row>
    <row r="14" spans="2:10" ht="39" customHeight="1">
      <c r="B14" s="145" t="str">
        <f>'Used Language'!C142</f>
        <v>8.) GIGO - Garbage in Garbage out! The user has to be aware that results calculated with this program can be extremely wrong if base data is wrong or incomplete.</v>
      </c>
    </row>
    <row r="15" spans="2:10" ht="39" customHeight="1">
      <c r="B15" s="145" t="str">
        <f>'Used Language'!C143</f>
        <v>9.) It is ALWAYS recommended to carry out a thorough leakage analysis based on measurements in the distribution network to support and verify the physical loss figure calculated with this program.</v>
      </c>
    </row>
    <row r="16" spans="2:10" ht="39" customHeight="1">
      <c r="B16" s="145" t="str">
        <f>'Used Language'!C144</f>
        <v>10.) When using this program for the first time, it is recommended to first familiarize with the methodology. A complete set of background reading materials can be downloaded from www.liemberger.cc</v>
      </c>
    </row>
    <row r="17" spans="2:2" ht="39" customHeight="1">
      <c r="B17" s="145" t="str">
        <f>'Used Language'!C145</f>
        <v>11.) Liemberger &amp; Partners would appreciate feedback! Please send your comments to office@liemberger.cc</v>
      </c>
    </row>
    <row r="18" spans="2:2" ht="39.65" customHeight="1">
      <c r="B18" s="145" t="str">
        <f>'Used Language'!C146</f>
        <v>12.) WB-EasyCalc will be continuously improved and upgraded - revisit www.liemberger.cc from time to time to check for new versions.</v>
      </c>
    </row>
    <row r="19" spans="2:2" ht="39.65" customHeight="1">
      <c r="B19" s="324" t="s">
        <v>3007</v>
      </c>
    </row>
    <row r="20" spans="2:2" ht="31.5" customHeight="1">
      <c r="B20" s="324" t="s">
        <v>3008</v>
      </c>
    </row>
    <row r="21" spans="2:2" ht="31.5" customHeight="1">
      <c r="B21" s="324" t="s">
        <v>3009</v>
      </c>
    </row>
    <row r="22" spans="2:2" ht="31.5" customHeight="1">
      <c r="B22" s="324" t="s">
        <v>3010</v>
      </c>
    </row>
    <row r="23" spans="2:2" ht="31.5" customHeight="1">
      <c r="B23" s="324" t="s">
        <v>3011</v>
      </c>
    </row>
    <row r="24" spans="2:2" ht="31.5" customHeight="1">
      <c r="B24" s="324" t="s">
        <v>3012</v>
      </c>
    </row>
    <row r="25" spans="2:2" ht="31.5" customHeight="1">
      <c r="B25" s="324" t="s">
        <v>3013</v>
      </c>
    </row>
    <row r="26" spans="2:2" ht="31.5" customHeight="1">
      <c r="B26" s="324" t="s">
        <v>3014</v>
      </c>
    </row>
    <row r="27" spans="2:2" ht="31.5" customHeight="1">
      <c r="B27" s="324" t="s">
        <v>3015</v>
      </c>
    </row>
    <row r="28" spans="2:2" ht="31.5" customHeight="1">
      <c r="B28" s="324" t="s">
        <v>3016</v>
      </c>
    </row>
    <row r="29" spans="2:2" ht="31.5" customHeight="1">
      <c r="B29" s="324" t="s">
        <v>3017</v>
      </c>
    </row>
    <row r="30" spans="2:2" ht="31.5" customHeight="1">
      <c r="B30" s="145" t="s">
        <v>3018</v>
      </c>
    </row>
    <row r="31" spans="2:2" ht="31.5" customHeight="1">
      <c r="B31" s="324" t="s">
        <v>3019</v>
      </c>
    </row>
    <row r="32" spans="2:2" ht="31.5" customHeight="1">
      <c r="B32" s="324" t="s">
        <v>3020</v>
      </c>
    </row>
    <row r="33" spans="2:2" ht="31.5" customHeight="1">
      <c r="B33" s="324" t="s">
        <v>3021</v>
      </c>
    </row>
    <row r="34" spans="2:2" ht="31.5" customHeight="1">
      <c r="B34" s="324" t="s">
        <v>3022</v>
      </c>
    </row>
    <row r="35" spans="2:2" ht="33.65" customHeight="1">
      <c r="B35" s="324" t="s">
        <v>3023</v>
      </c>
    </row>
    <row r="36" spans="2:2">
      <c r="B36" s="324" t="s">
        <v>3024</v>
      </c>
    </row>
    <row r="37" spans="2:2" ht="29">
      <c r="B37" s="324" t="s">
        <v>3025</v>
      </c>
    </row>
    <row r="38" spans="2:2">
      <c r="B38" s="324" t="s">
        <v>3026</v>
      </c>
    </row>
    <row r="39" spans="2:2" ht="29">
      <c r="B39" s="324" t="s">
        <v>3027</v>
      </c>
    </row>
    <row r="40" spans="2:2" ht="49.15" customHeight="1">
      <c r="B40" s="324" t="s">
        <v>3028</v>
      </c>
    </row>
    <row r="41" spans="2:2" ht="36" customHeight="1">
      <c r="B41" s="324" t="s">
        <v>3029</v>
      </c>
    </row>
    <row r="42" spans="2:2" ht="35.25" customHeight="1">
      <c r="B42" s="145" t="s">
        <v>3030</v>
      </c>
    </row>
    <row r="43" spans="2:2" ht="28.15" customHeight="1">
      <c r="B43" s="145" t="s">
        <v>3402</v>
      </c>
    </row>
    <row r="44" spans="2:2" ht="42.65" customHeight="1">
      <c r="B44" s="145" t="s">
        <v>3031</v>
      </c>
    </row>
    <row r="45" spans="2:2" ht="23.5" customHeight="1">
      <c r="B45" s="324" t="s">
        <v>3032</v>
      </c>
    </row>
    <row r="46" spans="2:2" ht="21" customHeight="1">
      <c r="B46" s="145" t="s">
        <v>3033</v>
      </c>
    </row>
    <row r="47" spans="2:2" ht="25.15" customHeight="1">
      <c r="B47" s="324" t="s">
        <v>3034</v>
      </c>
    </row>
    <row r="48" spans="2:2" ht="33" customHeight="1">
      <c r="B48" s="419" t="s">
        <v>3132</v>
      </c>
    </row>
    <row r="49" spans="2:2" ht="36.65" customHeight="1">
      <c r="B49" s="145" t="s">
        <v>3133</v>
      </c>
    </row>
    <row r="50" spans="2:2" ht="22.5" customHeight="1">
      <c r="B50" s="324" t="s">
        <v>3335</v>
      </c>
    </row>
    <row r="51" spans="2:2" ht="32.25" customHeight="1">
      <c r="B51" s="145" t="s">
        <v>3376</v>
      </c>
    </row>
    <row r="52" spans="2:2" ht="29">
      <c r="B52" s="145" t="s">
        <v>3375</v>
      </c>
    </row>
    <row r="53" spans="2:2" ht="36" customHeight="1">
      <c r="B53" s="145" t="s">
        <v>3563</v>
      </c>
    </row>
    <row r="54" spans="2:2" ht="29">
      <c r="B54" s="145" t="s">
        <v>3564</v>
      </c>
    </row>
  </sheetData>
  <sheetProtection algorithmName="SHA-512" hashValue="0OG3pSSCDIEihadHNpLEpknZDn1olAO1KtFp769g4PMHM0bFWdCBPlxGNi6GgTZrYb+Gew8qT4j2nggLS5HuGw==" saltValue="d1jsiftqXC3cBhBTCgUNZQ==" spinCount="100000" sheet="1" objects="1" scenarios="1"/>
  <mergeCells count="1">
    <mergeCell ref="D2:F4"/>
  </mergeCells>
  <phoneticPr fontId="7" type="noConversion"/>
  <hyperlinks>
    <hyperlink ref="D2:D3" location="Start!A1" display="Home"/>
    <hyperlink ref="D6" location="'Language 1'!A1" display="Change Language"/>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B1:FQ1340"/>
  <sheetViews>
    <sheetView zoomScale="110" zoomScaleNormal="110" workbookViewId="0">
      <selection activeCell="P2" sqref="P2:R4"/>
    </sheetView>
  </sheetViews>
  <sheetFormatPr baseColWidth="10" defaultColWidth="11.453125" defaultRowHeight="14.5"/>
  <cols>
    <col min="1" max="1" width="2.26953125" style="33" customWidth="1"/>
    <col min="2" max="2" width="5.26953125" style="33" customWidth="1"/>
    <col min="3" max="3" width="5" style="33" customWidth="1"/>
    <col min="4" max="4" width="25.453125" style="89" customWidth="1"/>
    <col min="5" max="5" width="1.81640625" style="89" customWidth="1"/>
    <col min="6" max="7" width="4.453125" style="89" customWidth="1"/>
    <col min="8" max="8" width="5.1796875" style="89" customWidth="1"/>
    <col min="9" max="9" width="5.26953125" style="89" customWidth="1"/>
    <col min="10" max="10" width="5.26953125" style="33" customWidth="1"/>
    <col min="11" max="11" width="25.453125" style="33" customWidth="1"/>
    <col min="12" max="12" width="1.81640625" style="33" customWidth="1"/>
    <col min="13" max="14" width="4.453125" style="33" customWidth="1"/>
    <col min="15" max="15" width="6.1796875" style="33" customWidth="1"/>
    <col min="16" max="16" width="12.26953125" style="33" customWidth="1"/>
    <col min="17" max="16384" width="11.453125" style="33"/>
  </cols>
  <sheetData>
    <row r="1" spans="2:173" ht="15" thickBot="1"/>
    <row r="2" spans="2:173" ht="49.9" customHeight="1" thickTop="1">
      <c r="B2" s="768" t="str">
        <f>'Used Language'!C15</f>
        <v>Change Language</v>
      </c>
      <c r="C2" s="769"/>
      <c r="D2" s="769"/>
      <c r="E2" s="769"/>
      <c r="F2" s="769"/>
      <c r="G2" s="769"/>
      <c r="H2" s="769"/>
      <c r="I2" s="769"/>
      <c r="J2" s="769"/>
      <c r="K2" s="769"/>
      <c r="L2" s="769"/>
      <c r="M2" s="769"/>
      <c r="N2" s="770"/>
      <c r="P2" s="757" t="str">
        <f>'Used Language'!C128</f>
        <v>Home</v>
      </c>
      <c r="Q2" s="758"/>
      <c r="R2" s="759"/>
    </row>
    <row r="3" spans="2:173" ht="13.5" customHeight="1" thickBot="1">
      <c r="P3" s="760"/>
      <c r="Q3" s="761"/>
      <c r="R3" s="762"/>
    </row>
    <row r="4" spans="2:173" ht="32.25" customHeight="1" thickTop="1" thickBot="1">
      <c r="B4" s="612" t="s">
        <v>1766</v>
      </c>
      <c r="C4" s="613"/>
      <c r="D4" s="613"/>
      <c r="E4" s="613"/>
      <c r="F4" s="613"/>
      <c r="G4" s="614"/>
      <c r="H4" s="350"/>
      <c r="I4" s="356">
        <v>2</v>
      </c>
      <c r="K4" s="773" t="s">
        <v>1767</v>
      </c>
      <c r="L4" s="774"/>
      <c r="M4" s="774"/>
      <c r="N4" s="775"/>
      <c r="P4" s="763"/>
      <c r="Q4" s="764"/>
      <c r="R4" s="765"/>
    </row>
    <row r="5" spans="2:173" ht="14.25" customHeight="1" thickTop="1">
      <c r="D5" s="350"/>
      <c r="E5" s="350"/>
      <c r="F5" s="350"/>
      <c r="G5" s="350"/>
      <c r="H5" s="350"/>
      <c r="I5" s="350"/>
    </row>
    <row r="6" spans="2:173" ht="25.5" customHeight="1">
      <c r="D6" s="350"/>
      <c r="E6" s="350"/>
      <c r="F6" s="772" t="s">
        <v>1764</v>
      </c>
      <c r="G6" s="772"/>
      <c r="H6" s="350"/>
      <c r="I6" s="350"/>
      <c r="M6" s="772" t="s">
        <v>1764</v>
      </c>
      <c r="N6" s="772"/>
    </row>
    <row r="7" spans="2:173">
      <c r="D7" s="350"/>
      <c r="E7" s="350"/>
      <c r="F7" s="350"/>
      <c r="G7" s="350"/>
      <c r="H7" s="350"/>
      <c r="I7" s="350"/>
    </row>
    <row r="8" spans="2:173" ht="34.15" customHeight="1">
      <c r="D8" s="357" t="s">
        <v>3047</v>
      </c>
      <c r="E8" s="350"/>
      <c r="F8" s="766">
        <v>1</v>
      </c>
      <c r="G8" s="766"/>
      <c r="H8" s="350"/>
      <c r="I8" s="74"/>
      <c r="K8" s="357" t="s">
        <v>1765</v>
      </c>
      <c r="L8" s="350"/>
      <c r="M8" s="766">
        <v>3</v>
      </c>
      <c r="N8" s="766"/>
    </row>
    <row r="9" spans="2:173" ht="9" customHeight="1">
      <c r="D9" s="74"/>
      <c r="E9" s="350"/>
      <c r="F9" s="350"/>
      <c r="G9" s="350"/>
      <c r="H9" s="350"/>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15" customHeight="1">
      <c r="B10" s="771"/>
      <c r="C10" s="771"/>
      <c r="D10" s="357" t="s">
        <v>3048</v>
      </c>
      <c r="E10" s="350"/>
      <c r="F10" s="766">
        <v>2</v>
      </c>
      <c r="G10" s="766"/>
      <c r="H10" s="350"/>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50"/>
      <c r="F11" s="350"/>
      <c r="G11" s="350"/>
      <c r="H11" s="350"/>
      <c r="I11" s="351"/>
      <c r="J11" s="75"/>
      <c r="K11" s="352"/>
      <c r="L11" s="352"/>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15" customHeight="1">
      <c r="B12" s="768" t="s">
        <v>1791</v>
      </c>
      <c r="C12" s="769"/>
      <c r="D12" s="769"/>
      <c r="E12" s="769"/>
      <c r="F12" s="769"/>
      <c r="G12" s="769"/>
      <c r="H12" s="769"/>
      <c r="I12" s="769"/>
      <c r="J12" s="769"/>
      <c r="K12" s="769"/>
      <c r="L12" s="769"/>
      <c r="M12" s="769"/>
      <c r="N12" s="770"/>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50"/>
      <c r="F13" s="350"/>
      <c r="G13" s="350"/>
      <c r="H13" s="350"/>
      <c r="I13" s="351"/>
      <c r="J13" s="75"/>
      <c r="K13" s="352"/>
      <c r="L13" s="352"/>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58" t="str">
        <f>'Language 2'!D4</f>
        <v>French</v>
      </c>
      <c r="E14" s="350"/>
      <c r="F14" s="766">
        <v>4</v>
      </c>
      <c r="G14" s="766"/>
      <c r="H14" s="350"/>
      <c r="I14" s="351"/>
      <c r="J14" s="75"/>
      <c r="K14" s="358" t="str">
        <f>'Language 2'!N4</f>
        <v>Thai</v>
      </c>
      <c r="L14" s="350"/>
      <c r="M14" s="766">
        <v>14</v>
      </c>
      <c r="N14" s="766"/>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50"/>
      <c r="F15" s="350"/>
      <c r="G15" s="350"/>
      <c r="H15" s="350"/>
      <c r="I15" s="351"/>
      <c r="J15" s="75"/>
      <c r="K15" s="75"/>
      <c r="L15" s="352"/>
      <c r="M15" s="147"/>
      <c r="N15" s="86"/>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58" t="str">
        <f>'Language 2'!E4</f>
        <v>Deutsch</v>
      </c>
      <c r="E16" s="350"/>
      <c r="F16" s="766">
        <v>5</v>
      </c>
      <c r="G16" s="766"/>
      <c r="H16" s="350"/>
      <c r="I16" s="767"/>
      <c r="J16" s="75"/>
      <c r="K16" s="358" t="str">
        <f>'Language 2'!O4</f>
        <v>Serbian</v>
      </c>
      <c r="L16" s="350"/>
      <c r="M16" s="766">
        <v>15</v>
      </c>
      <c r="N16" s="766"/>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50"/>
      <c r="F17" s="350"/>
      <c r="G17" s="350"/>
      <c r="H17" s="350"/>
      <c r="I17" s="767"/>
      <c r="J17" s="75"/>
      <c r="K17" s="75"/>
      <c r="L17" s="352"/>
      <c r="M17" s="147"/>
      <c r="N17" s="86"/>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58" t="str">
        <f>'Language 2'!F4</f>
        <v>Russian</v>
      </c>
      <c r="E18" s="350"/>
      <c r="F18" s="766">
        <v>6</v>
      </c>
      <c r="G18" s="766"/>
      <c r="H18" s="350"/>
      <c r="I18" s="351"/>
      <c r="J18" s="75"/>
      <c r="K18" s="358" t="str">
        <f>'Language 2'!P4</f>
        <v>Chinese (1)</v>
      </c>
      <c r="L18" s="350"/>
      <c r="M18" s="766">
        <v>16</v>
      </c>
      <c r="N18" s="766"/>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50"/>
      <c r="F19" s="350"/>
      <c r="G19" s="350"/>
      <c r="H19" s="350"/>
      <c r="I19" s="351"/>
      <c r="J19" s="75"/>
      <c r="K19" s="75"/>
      <c r="L19" s="75"/>
      <c r="M19" s="147"/>
      <c r="N19" s="147"/>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58" t="str">
        <f>'Language 2'!G4</f>
        <v>Vietnamese</v>
      </c>
      <c r="E20" s="350"/>
      <c r="F20" s="766">
        <v>7</v>
      </c>
      <c r="G20" s="766"/>
      <c r="H20" s="350"/>
      <c r="I20" s="351"/>
      <c r="J20" s="75"/>
      <c r="K20" s="358" t="str">
        <f>'Language 2'!Q4</f>
        <v>Chinese (2)</v>
      </c>
      <c r="L20" s="350"/>
      <c r="M20" s="766">
        <v>17</v>
      </c>
      <c r="N20" s="766"/>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50"/>
      <c r="F21" s="350"/>
      <c r="G21" s="350"/>
      <c r="H21" s="350"/>
      <c r="I21" s="351"/>
      <c r="J21" s="75"/>
      <c r="K21" s="75"/>
      <c r="L21" s="75"/>
      <c r="M21" s="147"/>
      <c r="N21" s="147"/>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58" t="str">
        <f>'Language 2'!H4</f>
        <v>Bahasa Indonesia</v>
      </c>
      <c r="E22" s="350"/>
      <c r="F22" s="766">
        <v>8</v>
      </c>
      <c r="G22" s="766"/>
      <c r="H22" s="350"/>
      <c r="I22" s="351"/>
      <c r="J22" s="75"/>
      <c r="K22" s="358" t="str">
        <f>'Language 2'!R4</f>
        <v>Chinese (3)</v>
      </c>
      <c r="L22" s="350"/>
      <c r="M22" s="766">
        <v>18</v>
      </c>
      <c r="N22" s="766"/>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50"/>
      <c r="F23" s="350"/>
      <c r="G23" s="350"/>
      <c r="H23" s="350"/>
      <c r="I23" s="351"/>
      <c r="J23" s="75"/>
      <c r="K23" s="75"/>
      <c r="L23" s="75"/>
      <c r="M23" s="147"/>
      <c r="N23" s="147"/>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58" t="str">
        <f>'Language 2'!I4</f>
        <v>Español</v>
      </c>
      <c r="E24" s="350"/>
      <c r="F24" s="766">
        <v>9</v>
      </c>
      <c r="G24" s="766"/>
      <c r="H24" s="74"/>
      <c r="I24" s="353"/>
      <c r="J24" s="75"/>
      <c r="K24" s="358" t="str">
        <f>'Language 2'!S4</f>
        <v>Romanian</v>
      </c>
      <c r="L24" s="350"/>
      <c r="M24" s="766">
        <v>19</v>
      </c>
      <c r="N24" s="766"/>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53"/>
      <c r="J25" s="75"/>
      <c r="K25" s="75"/>
      <c r="L25" s="75"/>
      <c r="M25" s="147"/>
      <c r="N25" s="147"/>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6"/>
      <c r="D26" s="358" t="str">
        <f>'Language 2'!J4</f>
        <v>Italian</v>
      </c>
      <c r="E26" s="350"/>
      <c r="F26" s="766">
        <v>10</v>
      </c>
      <c r="G26" s="766"/>
      <c r="H26" s="96"/>
      <c r="I26" s="353"/>
      <c r="J26" s="75"/>
      <c r="K26" s="358" t="str">
        <f>'Language 2'!T4</f>
        <v>Bosnian</v>
      </c>
      <c r="L26" s="350"/>
      <c r="M26" s="766">
        <v>20</v>
      </c>
      <c r="N26" s="766"/>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6"/>
      <c r="E27" s="96"/>
      <c r="F27" s="96"/>
      <c r="G27" s="96"/>
      <c r="H27" s="96"/>
      <c r="I27" s="353"/>
      <c r="J27" s="75"/>
      <c r="K27" s="75"/>
      <c r="L27" s="75"/>
      <c r="M27" s="147"/>
      <c r="N27" s="147"/>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58" t="str">
        <f>'Language 2'!K4</f>
        <v>Portuguese (Brazil)</v>
      </c>
      <c r="E28" s="96"/>
      <c r="F28" s="766">
        <v>11</v>
      </c>
      <c r="G28" s="766"/>
      <c r="H28" s="96"/>
      <c r="I28" s="353"/>
      <c r="J28" s="75"/>
      <c r="K28" s="358" t="str">
        <f>'Language 2'!U4</f>
        <v>Albanian</v>
      </c>
      <c r="L28" s="75"/>
      <c r="M28" s="766">
        <v>21</v>
      </c>
      <c r="N28" s="766"/>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6"/>
      <c r="E29" s="96"/>
      <c r="F29" s="96"/>
      <c r="G29" s="96"/>
      <c r="H29" s="96"/>
      <c r="I29" s="353"/>
      <c r="J29" s="75"/>
      <c r="K29" s="75"/>
      <c r="L29" s="75"/>
      <c r="M29" s="147"/>
      <c r="N29" s="147"/>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58" t="str">
        <f>'Language 2'!L4</f>
        <v>Hungarian</v>
      </c>
      <c r="E30" s="350"/>
      <c r="F30" s="766">
        <v>12</v>
      </c>
      <c r="G30" s="766"/>
      <c r="H30" s="96"/>
      <c r="I30" s="353"/>
      <c r="J30" s="75"/>
      <c r="K30" s="358" t="str">
        <f>'Language 2'!V4</f>
        <v>Georgian</v>
      </c>
      <c r="L30" s="75"/>
      <c r="M30" s="766">
        <v>22</v>
      </c>
      <c r="N30" s="766"/>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6"/>
      <c r="E31" s="96"/>
      <c r="F31" s="96"/>
      <c r="G31" s="96"/>
      <c r="H31" s="96"/>
      <c r="I31" s="353"/>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58" t="str">
        <f>'Language 2'!M4</f>
        <v>Arabic</v>
      </c>
      <c r="E32" s="350"/>
      <c r="F32" s="766">
        <v>13</v>
      </c>
      <c r="G32" s="766"/>
      <c r="H32" s="96"/>
      <c r="I32" s="75"/>
      <c r="J32" s="75"/>
      <c r="K32" s="358" t="str">
        <f>'Language 2'!W4</f>
        <v>Bulgarian</v>
      </c>
      <c r="L32" s="75"/>
      <c r="M32" s="766">
        <v>23</v>
      </c>
      <c r="N32" s="766"/>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6"/>
      <c r="E33" s="96"/>
      <c r="F33" s="96"/>
      <c r="G33" s="96"/>
      <c r="H33" s="96"/>
      <c r="I33" s="353"/>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96"/>
      <c r="E34" s="96"/>
      <c r="F34" s="96"/>
      <c r="G34" s="96"/>
      <c r="H34" s="96"/>
      <c r="I34" s="353"/>
      <c r="J34" s="75"/>
      <c r="K34" s="358" t="str">
        <f>'Language 2'!X4</f>
        <v>Czech</v>
      </c>
      <c r="L34" s="75"/>
      <c r="M34" s="766">
        <f>'Language 2'!X2</f>
        <v>24</v>
      </c>
      <c r="N34" s="766"/>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6"/>
      <c r="E35" s="96"/>
      <c r="F35" s="96"/>
      <c r="G35" s="96"/>
      <c r="H35" s="96"/>
      <c r="I35" s="353"/>
      <c r="J35" s="353"/>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6"/>
      <c r="E36" s="96"/>
      <c r="F36" s="96"/>
      <c r="G36" s="96"/>
      <c r="H36" s="96"/>
      <c r="I36" s="353"/>
      <c r="J36" s="353"/>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6"/>
      <c r="E37" s="96"/>
      <c r="F37" s="96"/>
      <c r="G37" s="96"/>
      <c r="H37" s="96"/>
      <c r="I37" s="353"/>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6"/>
      <c r="E38" s="96"/>
      <c r="F38" s="96"/>
      <c r="G38" s="96"/>
      <c r="H38" s="96"/>
      <c r="I38" s="353"/>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6"/>
      <c r="E39" s="96"/>
      <c r="F39" s="96"/>
      <c r="G39" s="96"/>
      <c r="H39" s="96"/>
      <c r="I39" s="353"/>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6"/>
      <c r="E40" s="96"/>
      <c r="F40" s="96"/>
      <c r="G40" s="96"/>
      <c r="H40" s="96"/>
      <c r="I40" s="353"/>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6"/>
      <c r="E41" s="96"/>
      <c r="F41" s="96"/>
      <c r="G41" s="96"/>
      <c r="H41" s="96"/>
      <c r="I41" s="353"/>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6"/>
      <c r="E42" s="96"/>
      <c r="F42" s="96"/>
      <c r="G42" s="96"/>
      <c r="H42" s="96"/>
      <c r="I42" s="353"/>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6"/>
      <c r="E43" s="96"/>
      <c r="F43" s="96"/>
      <c r="G43" s="96"/>
      <c r="H43" s="96"/>
      <c r="I43" s="353"/>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6"/>
      <c r="E44" s="96"/>
      <c r="F44" s="96"/>
      <c r="G44" s="96"/>
      <c r="H44" s="96"/>
      <c r="I44" s="353"/>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6"/>
      <c r="E45" s="96"/>
      <c r="F45" s="96"/>
      <c r="G45" s="96"/>
      <c r="H45" s="96"/>
      <c r="I45" s="353"/>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6"/>
      <c r="E46" s="96"/>
      <c r="F46" s="96"/>
      <c r="G46" s="96"/>
      <c r="H46" s="96"/>
      <c r="I46" s="353"/>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6"/>
      <c r="E47" s="96"/>
      <c r="F47" s="96"/>
      <c r="G47" s="96"/>
      <c r="H47" s="96"/>
      <c r="I47" s="353"/>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6"/>
      <c r="E48" s="96"/>
      <c r="F48" s="96"/>
      <c r="G48" s="96"/>
      <c r="H48" s="96"/>
      <c r="I48" s="353"/>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6"/>
      <c r="E49" s="96"/>
      <c r="F49" s="96"/>
      <c r="G49" s="96"/>
      <c r="H49" s="96"/>
      <c r="I49" s="353"/>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6"/>
      <c r="E50" s="96"/>
      <c r="F50" s="96"/>
      <c r="G50" s="96"/>
      <c r="H50" s="96"/>
      <c r="I50" s="353"/>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6"/>
      <c r="E51" s="96"/>
      <c r="F51" s="96"/>
      <c r="G51" s="96"/>
      <c r="H51" s="96"/>
      <c r="I51" s="353"/>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6"/>
      <c r="E52" s="96"/>
      <c r="F52" s="96"/>
      <c r="G52" s="96"/>
      <c r="H52" s="96"/>
      <c r="I52" s="353"/>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6"/>
      <c r="E53" s="96"/>
      <c r="F53" s="96"/>
      <c r="G53" s="96"/>
      <c r="H53" s="96"/>
      <c r="I53" s="353"/>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6"/>
      <c r="E54" s="96"/>
      <c r="F54" s="96"/>
      <c r="G54" s="96"/>
      <c r="H54" s="96"/>
      <c r="I54" s="353"/>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6"/>
      <c r="E55" s="96"/>
      <c r="F55" s="96"/>
      <c r="G55" s="96"/>
      <c r="H55" s="96"/>
      <c r="I55" s="353"/>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6"/>
      <c r="E56" s="96"/>
      <c r="F56" s="96"/>
      <c r="G56" s="96"/>
      <c r="H56" s="96"/>
      <c r="I56" s="353"/>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6"/>
      <c r="E57" s="96"/>
      <c r="F57" s="96"/>
      <c r="G57" s="96"/>
      <c r="H57" s="96"/>
      <c r="I57" s="353"/>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6"/>
      <c r="E58" s="96"/>
      <c r="F58" s="96"/>
      <c r="G58" s="96"/>
      <c r="H58" s="96"/>
      <c r="I58" s="353"/>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6"/>
      <c r="E59" s="96"/>
      <c r="F59" s="96"/>
      <c r="G59" s="96"/>
      <c r="H59" s="96"/>
      <c r="I59" s="353"/>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6"/>
      <c r="E60" s="96"/>
      <c r="F60" s="96"/>
      <c r="G60" s="96"/>
      <c r="H60" s="96"/>
      <c r="I60" s="353"/>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6"/>
      <c r="E61" s="96"/>
      <c r="F61" s="96"/>
      <c r="G61" s="96"/>
      <c r="H61" s="96"/>
      <c r="I61" s="353"/>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6"/>
      <c r="E62" s="96"/>
      <c r="F62" s="96"/>
      <c r="G62" s="96"/>
      <c r="H62" s="96"/>
      <c r="I62" s="353"/>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6"/>
      <c r="E63" s="96"/>
      <c r="F63" s="96"/>
      <c r="G63" s="96"/>
      <c r="H63" s="96"/>
      <c r="I63" s="353"/>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6"/>
      <c r="E64" s="96"/>
      <c r="F64" s="96"/>
      <c r="G64" s="96"/>
      <c r="H64" s="96"/>
      <c r="I64" s="353"/>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6"/>
      <c r="E65" s="96"/>
      <c r="F65" s="96"/>
      <c r="G65" s="96"/>
      <c r="H65" s="96"/>
      <c r="I65" s="353"/>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6"/>
      <c r="E66" s="96"/>
      <c r="F66" s="96"/>
      <c r="G66" s="96"/>
      <c r="H66" s="96"/>
      <c r="I66" s="353"/>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6"/>
      <c r="E67" s="96"/>
      <c r="F67" s="96"/>
      <c r="G67" s="96"/>
      <c r="H67" s="96"/>
      <c r="I67" s="353"/>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6"/>
      <c r="E68" s="96"/>
      <c r="F68" s="96"/>
      <c r="G68" s="96"/>
      <c r="H68" s="96"/>
      <c r="I68" s="353"/>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6"/>
      <c r="E69" s="96"/>
      <c r="F69" s="96"/>
      <c r="G69" s="96"/>
      <c r="H69" s="96"/>
      <c r="I69" s="353"/>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6"/>
      <c r="E70" s="96"/>
      <c r="F70" s="96"/>
      <c r="G70" s="96"/>
      <c r="H70" s="96"/>
      <c r="I70" s="353"/>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6"/>
      <c r="E71" s="96"/>
      <c r="F71" s="96"/>
      <c r="G71" s="96"/>
      <c r="H71" s="96"/>
      <c r="I71" s="353"/>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6"/>
      <c r="E72" s="96"/>
      <c r="F72" s="96"/>
      <c r="G72" s="96"/>
      <c r="H72" s="96"/>
      <c r="I72" s="353"/>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6"/>
      <c r="E73" s="96"/>
      <c r="F73" s="96"/>
      <c r="G73" s="96"/>
      <c r="H73" s="96"/>
      <c r="I73" s="353"/>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6"/>
      <c r="E74" s="96"/>
      <c r="F74" s="96"/>
      <c r="G74" s="96"/>
      <c r="H74" s="96"/>
      <c r="I74" s="353"/>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6"/>
      <c r="E75" s="96"/>
      <c r="F75" s="96"/>
      <c r="G75" s="96"/>
      <c r="H75" s="96"/>
      <c r="I75" s="353"/>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6"/>
      <c r="E76" s="96"/>
      <c r="F76" s="96"/>
      <c r="G76" s="96"/>
      <c r="H76" s="96"/>
      <c r="I76" s="353"/>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6"/>
      <c r="E77" s="96"/>
      <c r="F77" s="96"/>
      <c r="G77" s="96"/>
      <c r="H77" s="96"/>
      <c r="I77" s="353"/>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6"/>
      <c r="E78" s="96"/>
      <c r="F78" s="96"/>
      <c r="G78" s="96"/>
      <c r="H78" s="96"/>
      <c r="I78" s="353"/>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6"/>
      <c r="E79" s="96"/>
      <c r="F79" s="96"/>
      <c r="G79" s="96"/>
      <c r="H79" s="96"/>
      <c r="I79" s="353"/>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6"/>
      <c r="E80" s="96"/>
      <c r="F80" s="96"/>
      <c r="G80" s="96"/>
      <c r="H80" s="96"/>
      <c r="I80" s="353"/>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6"/>
      <c r="E81" s="96"/>
      <c r="F81" s="96"/>
      <c r="G81" s="96"/>
      <c r="H81" s="96"/>
      <c r="I81" s="353"/>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6"/>
      <c r="E82" s="96"/>
      <c r="F82" s="96"/>
      <c r="G82" s="96"/>
      <c r="H82" s="96"/>
      <c r="I82" s="353"/>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6"/>
      <c r="E83" s="96"/>
      <c r="F83" s="96"/>
      <c r="G83" s="96"/>
      <c r="H83" s="96"/>
      <c r="I83" s="353"/>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6"/>
      <c r="E84" s="96"/>
      <c r="F84" s="96"/>
      <c r="G84" s="96"/>
      <c r="H84" s="96"/>
      <c r="I84" s="353"/>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6"/>
      <c r="E85" s="96"/>
      <c r="F85" s="96"/>
      <c r="G85" s="96"/>
      <c r="H85" s="96"/>
      <c r="I85" s="353"/>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6"/>
      <c r="E86" s="96"/>
      <c r="F86" s="96"/>
      <c r="G86" s="96"/>
      <c r="H86" s="96"/>
      <c r="I86" s="353"/>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6"/>
      <c r="E87" s="96"/>
      <c r="F87" s="96"/>
      <c r="G87" s="96"/>
      <c r="H87" s="96"/>
      <c r="I87" s="353"/>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6"/>
      <c r="E88" s="96"/>
      <c r="F88" s="96"/>
      <c r="G88" s="96"/>
      <c r="H88" s="96"/>
      <c r="I88" s="353"/>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6"/>
      <c r="E89" s="96"/>
      <c r="F89" s="96"/>
      <c r="G89" s="96"/>
      <c r="H89" s="96"/>
      <c r="I89" s="354"/>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6"/>
      <c r="E90" s="96"/>
      <c r="F90" s="96"/>
      <c r="G90" s="96"/>
      <c r="H90" s="96"/>
      <c r="I90" s="353"/>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55"/>
      <c r="E91" s="355"/>
      <c r="F91" s="355"/>
      <c r="G91" s="96"/>
      <c r="H91" s="96"/>
      <c r="I91" s="353"/>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6"/>
      <c r="E92" s="96"/>
      <c r="F92" s="96"/>
      <c r="G92" s="96"/>
      <c r="H92" s="96"/>
      <c r="I92" s="353"/>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6"/>
      <c r="E93" s="96"/>
      <c r="F93" s="96"/>
      <c r="G93" s="96"/>
      <c r="H93" s="96"/>
      <c r="I93" s="353"/>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6"/>
      <c r="E94" s="96"/>
      <c r="F94" s="96"/>
      <c r="G94" s="96"/>
      <c r="H94" s="96"/>
      <c r="I94" s="353"/>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6"/>
      <c r="E95" s="96"/>
      <c r="F95" s="96"/>
      <c r="G95" s="96"/>
      <c r="H95" s="96"/>
      <c r="I95" s="353"/>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6"/>
      <c r="E96" s="96"/>
      <c r="F96" s="96"/>
      <c r="G96" s="96"/>
      <c r="H96" s="96"/>
      <c r="I96" s="353"/>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6"/>
      <c r="E97" s="96"/>
      <c r="F97" s="96"/>
      <c r="G97" s="96"/>
      <c r="H97" s="96"/>
      <c r="I97" s="353"/>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6"/>
      <c r="E98" s="96"/>
      <c r="F98" s="96"/>
      <c r="G98" s="96"/>
      <c r="H98" s="96"/>
      <c r="I98" s="353"/>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6"/>
      <c r="E99" s="96"/>
      <c r="F99" s="96"/>
      <c r="G99" s="96"/>
      <c r="H99" s="96"/>
      <c r="I99" s="353"/>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6"/>
      <c r="E100" s="96"/>
      <c r="F100" s="96"/>
      <c r="G100" s="96"/>
      <c r="H100" s="96"/>
      <c r="I100" s="353"/>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6"/>
      <c r="E101" s="96"/>
      <c r="F101" s="96"/>
      <c r="G101" s="96"/>
      <c r="H101" s="96"/>
      <c r="I101" s="353"/>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6"/>
      <c r="E102" s="96"/>
      <c r="F102" s="96"/>
      <c r="G102" s="96"/>
      <c r="H102" s="96"/>
      <c r="I102" s="353"/>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6"/>
      <c r="E103" s="96"/>
      <c r="F103" s="96"/>
      <c r="G103" s="96"/>
      <c r="H103" s="96"/>
      <c r="I103" s="353"/>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6"/>
      <c r="E104" s="96"/>
      <c r="F104" s="96"/>
      <c r="G104" s="96"/>
      <c r="H104" s="96"/>
      <c r="I104" s="353"/>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6"/>
      <c r="E105" s="96"/>
      <c r="F105" s="96"/>
      <c r="G105" s="96"/>
      <c r="H105" s="96"/>
      <c r="I105" s="353"/>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6"/>
      <c r="E106" s="96"/>
      <c r="F106" s="96"/>
      <c r="G106" s="96"/>
      <c r="H106" s="96"/>
      <c r="I106" s="353"/>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6"/>
      <c r="E107" s="96"/>
      <c r="F107" s="96"/>
      <c r="G107" s="96"/>
      <c r="H107" s="96"/>
      <c r="I107" s="353"/>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6"/>
      <c r="E108" s="96"/>
      <c r="F108" s="96"/>
      <c r="G108" s="96"/>
      <c r="H108" s="96"/>
      <c r="I108" s="353"/>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6"/>
      <c r="E109" s="96"/>
      <c r="F109" s="96"/>
      <c r="G109" s="96"/>
      <c r="H109" s="96"/>
      <c r="I109" s="353"/>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6"/>
      <c r="E110" s="96"/>
      <c r="F110" s="96"/>
      <c r="G110" s="96"/>
      <c r="H110" s="96"/>
      <c r="I110" s="353"/>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6"/>
      <c r="E111" s="96"/>
      <c r="F111" s="96"/>
      <c r="G111" s="96"/>
      <c r="H111" s="96"/>
      <c r="I111" s="353"/>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6"/>
      <c r="E112" s="96"/>
      <c r="F112" s="96"/>
      <c r="G112" s="96"/>
      <c r="H112" s="96"/>
      <c r="I112" s="353"/>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6"/>
      <c r="E113" s="96"/>
      <c r="F113" s="96"/>
      <c r="G113" s="96"/>
      <c r="H113" s="96"/>
      <c r="I113" s="353"/>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6"/>
      <c r="E114" s="96"/>
      <c r="F114" s="96"/>
      <c r="G114" s="96"/>
      <c r="H114" s="96"/>
      <c r="I114" s="353"/>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6"/>
      <c r="E115" s="96"/>
      <c r="F115" s="96"/>
      <c r="G115" s="96"/>
      <c r="H115" s="96"/>
      <c r="I115" s="353"/>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6"/>
      <c r="E116" s="96"/>
      <c r="F116" s="96"/>
      <c r="G116" s="96"/>
      <c r="H116" s="96"/>
      <c r="I116" s="353"/>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6"/>
      <c r="E117" s="96"/>
      <c r="F117" s="96"/>
      <c r="G117" s="96"/>
      <c r="H117" s="96"/>
      <c r="I117" s="353"/>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6"/>
      <c r="E118" s="96"/>
      <c r="F118" s="96"/>
      <c r="G118" s="96"/>
      <c r="H118" s="96"/>
      <c r="I118" s="353"/>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6"/>
      <c r="E119" s="96"/>
      <c r="F119" s="96"/>
      <c r="G119" s="96"/>
      <c r="H119" s="96"/>
      <c r="I119" s="353"/>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6"/>
      <c r="E120" s="96"/>
      <c r="F120" s="96"/>
      <c r="G120" s="96"/>
      <c r="H120" s="96"/>
      <c r="I120" s="353"/>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6"/>
      <c r="E121" s="96"/>
      <c r="F121" s="96"/>
      <c r="G121" s="96"/>
      <c r="H121" s="96"/>
      <c r="I121" s="353"/>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6"/>
      <c r="E122" s="96"/>
      <c r="F122" s="96"/>
      <c r="G122" s="96"/>
      <c r="H122" s="96"/>
      <c r="I122" s="353"/>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6"/>
      <c r="E123" s="96"/>
      <c r="F123" s="96"/>
      <c r="G123" s="96"/>
      <c r="H123" s="96"/>
      <c r="I123" s="353"/>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6"/>
      <c r="E124" s="96"/>
      <c r="F124" s="96"/>
      <c r="G124" s="96"/>
      <c r="H124" s="96"/>
      <c r="I124" s="353"/>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6"/>
      <c r="E125" s="96"/>
      <c r="F125" s="96"/>
      <c r="G125" s="96"/>
      <c r="H125" s="96"/>
      <c r="I125" s="353"/>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6"/>
      <c r="E126" s="96"/>
      <c r="F126" s="96"/>
      <c r="G126" s="96"/>
      <c r="H126" s="96"/>
      <c r="I126" s="353"/>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6"/>
      <c r="E127" s="96"/>
      <c r="F127" s="96"/>
      <c r="G127" s="96"/>
      <c r="H127" s="96"/>
      <c r="I127" s="353"/>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6"/>
      <c r="E128" s="96"/>
      <c r="F128" s="96"/>
      <c r="G128" s="96"/>
      <c r="H128" s="96"/>
      <c r="I128" s="353"/>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6"/>
      <c r="E129" s="96"/>
      <c r="F129" s="96"/>
      <c r="G129" s="96"/>
      <c r="H129" s="96"/>
      <c r="I129" s="353"/>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6"/>
      <c r="E130" s="96"/>
      <c r="F130" s="96"/>
      <c r="G130" s="96"/>
      <c r="H130" s="96"/>
      <c r="I130" s="353"/>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6"/>
      <c r="E131" s="96"/>
      <c r="F131" s="96"/>
      <c r="G131" s="96"/>
      <c r="H131" s="96"/>
      <c r="I131" s="353"/>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6"/>
      <c r="E132" s="96"/>
      <c r="F132" s="96"/>
      <c r="G132" s="96"/>
      <c r="H132" s="96"/>
      <c r="I132" s="353"/>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6"/>
      <c r="E133" s="96"/>
      <c r="F133" s="96"/>
      <c r="G133" s="96"/>
      <c r="H133" s="96"/>
      <c r="I133" s="353"/>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6"/>
      <c r="E134" s="96"/>
      <c r="F134" s="96"/>
      <c r="G134" s="96"/>
      <c r="H134" s="96"/>
      <c r="I134" s="353"/>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6"/>
      <c r="E135" s="96"/>
      <c r="F135" s="96"/>
      <c r="G135" s="96"/>
      <c r="H135" s="96"/>
      <c r="I135" s="353"/>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6"/>
      <c r="E136" s="96"/>
      <c r="F136" s="96"/>
      <c r="G136" s="96"/>
      <c r="H136" s="96"/>
      <c r="I136" s="353"/>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6"/>
      <c r="E137" s="96"/>
      <c r="F137" s="96"/>
      <c r="G137" s="96"/>
      <c r="H137" s="96"/>
      <c r="I137" s="353"/>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6"/>
      <c r="E138" s="96"/>
      <c r="F138" s="96"/>
      <c r="G138" s="96"/>
      <c r="H138" s="96"/>
      <c r="I138" s="353"/>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6"/>
      <c r="E139" s="96"/>
      <c r="F139" s="96"/>
      <c r="G139" s="96"/>
      <c r="H139" s="96"/>
      <c r="I139" s="353"/>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6"/>
      <c r="E140" s="96"/>
      <c r="F140" s="96"/>
      <c r="G140" s="96"/>
      <c r="H140" s="96"/>
      <c r="I140" s="353"/>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6"/>
      <c r="E141" s="96"/>
      <c r="F141" s="96"/>
      <c r="G141" s="96"/>
      <c r="H141" s="96"/>
      <c r="I141" s="353"/>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6"/>
      <c r="E142" s="96"/>
      <c r="F142" s="96"/>
      <c r="G142" s="96"/>
      <c r="H142" s="96"/>
      <c r="I142" s="353"/>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6"/>
      <c r="E143" s="96"/>
      <c r="F143" s="96"/>
      <c r="G143" s="96"/>
      <c r="H143" s="96"/>
      <c r="I143" s="353"/>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6"/>
      <c r="E144" s="96"/>
      <c r="F144" s="96"/>
      <c r="G144" s="96"/>
      <c r="H144" s="96"/>
      <c r="I144" s="353"/>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6"/>
      <c r="E145" s="96"/>
      <c r="F145" s="96"/>
      <c r="G145" s="96"/>
      <c r="H145" s="96"/>
      <c r="I145" s="353"/>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6"/>
      <c r="E146" s="96"/>
      <c r="F146" s="96"/>
      <c r="G146" s="96"/>
      <c r="H146" s="96"/>
      <c r="I146" s="353"/>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6"/>
      <c r="E147" s="96"/>
      <c r="F147" s="96"/>
      <c r="G147" s="96"/>
      <c r="H147" s="96"/>
      <c r="I147" s="353"/>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6"/>
      <c r="E148" s="96"/>
      <c r="F148" s="96"/>
      <c r="G148" s="96"/>
      <c r="H148" s="96"/>
      <c r="I148" s="353"/>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6"/>
      <c r="E149" s="96"/>
      <c r="F149" s="96"/>
      <c r="G149" s="96"/>
      <c r="H149" s="96"/>
      <c r="I149" s="353"/>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6"/>
      <c r="E150" s="96"/>
      <c r="F150" s="96"/>
      <c r="G150" s="96"/>
      <c r="H150" s="96"/>
      <c r="I150" s="353"/>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6"/>
      <c r="E151" s="96"/>
      <c r="F151" s="96"/>
      <c r="G151" s="96"/>
      <c r="H151" s="96"/>
      <c r="I151" s="353"/>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6"/>
      <c r="E152" s="96"/>
      <c r="F152" s="96"/>
      <c r="G152" s="96"/>
      <c r="H152" s="96"/>
      <c r="I152" s="353"/>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6"/>
      <c r="E153" s="96"/>
      <c r="F153" s="96"/>
      <c r="G153" s="96"/>
      <c r="H153" s="96"/>
      <c r="I153" s="353"/>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6"/>
      <c r="E154" s="96"/>
      <c r="F154" s="96"/>
      <c r="G154" s="96"/>
      <c r="H154" s="96"/>
      <c r="I154" s="353"/>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6"/>
      <c r="E155" s="96"/>
      <c r="F155" s="96"/>
      <c r="G155" s="96"/>
      <c r="H155" s="96"/>
      <c r="I155" s="353"/>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6"/>
      <c r="E156" s="96"/>
      <c r="F156" s="96"/>
      <c r="G156" s="96"/>
      <c r="H156" s="96"/>
      <c r="I156" s="353"/>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6"/>
      <c r="E157" s="96"/>
      <c r="F157" s="96"/>
      <c r="G157" s="96"/>
      <c r="H157" s="96"/>
      <c r="I157" s="353"/>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6"/>
      <c r="E158" s="96"/>
      <c r="F158" s="96"/>
      <c r="G158" s="96"/>
      <c r="H158" s="96"/>
      <c r="I158" s="353"/>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6"/>
      <c r="E159" s="96"/>
      <c r="F159" s="96"/>
      <c r="G159" s="96"/>
      <c r="H159" s="96"/>
      <c r="I159" s="353"/>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6"/>
      <c r="E160" s="96"/>
      <c r="F160" s="96"/>
      <c r="G160" s="96"/>
      <c r="H160" s="96"/>
      <c r="I160" s="353"/>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6"/>
      <c r="E161" s="96"/>
      <c r="F161" s="96"/>
      <c r="G161" s="96"/>
      <c r="H161" s="96"/>
      <c r="I161" s="353"/>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6"/>
      <c r="E162" s="96"/>
      <c r="F162" s="96"/>
      <c r="G162" s="96"/>
      <c r="H162" s="96"/>
      <c r="I162" s="353"/>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6"/>
      <c r="E163" s="96"/>
      <c r="F163" s="96"/>
      <c r="G163" s="96"/>
      <c r="H163" s="96"/>
      <c r="I163" s="353"/>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6"/>
      <c r="E164" s="96"/>
      <c r="F164" s="96"/>
      <c r="G164" s="96"/>
      <c r="H164" s="96"/>
      <c r="I164" s="353"/>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6"/>
      <c r="E165" s="96"/>
      <c r="F165" s="96"/>
      <c r="G165" s="96"/>
      <c r="H165" s="96"/>
      <c r="I165" s="353"/>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6"/>
      <c r="E166" s="96"/>
      <c r="F166" s="96"/>
      <c r="G166" s="96"/>
      <c r="H166" s="96"/>
      <c r="I166" s="353"/>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6"/>
      <c r="E167" s="96"/>
      <c r="F167" s="96"/>
      <c r="G167" s="96"/>
      <c r="H167" s="96"/>
      <c r="I167" s="353"/>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6"/>
      <c r="E168" s="96"/>
      <c r="F168" s="96"/>
      <c r="G168" s="96"/>
      <c r="H168" s="96"/>
      <c r="I168" s="353"/>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6"/>
      <c r="E169" s="96"/>
      <c r="F169" s="96"/>
      <c r="G169" s="96"/>
      <c r="H169" s="96"/>
      <c r="I169" s="353"/>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6"/>
      <c r="E170" s="96"/>
      <c r="F170" s="96"/>
      <c r="G170" s="96"/>
      <c r="H170" s="96"/>
      <c r="I170" s="353"/>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6"/>
      <c r="E171" s="96"/>
      <c r="F171" s="96"/>
      <c r="G171" s="96"/>
      <c r="H171" s="96"/>
      <c r="I171" s="353"/>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6"/>
      <c r="E172" s="96"/>
      <c r="F172" s="96"/>
      <c r="G172" s="96"/>
      <c r="H172" s="96"/>
      <c r="I172" s="353"/>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6"/>
      <c r="E173" s="96"/>
      <c r="F173" s="96"/>
      <c r="G173" s="96"/>
      <c r="H173" s="96"/>
      <c r="I173" s="353"/>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6"/>
      <c r="E174" s="96"/>
      <c r="F174" s="96"/>
      <c r="G174" s="96"/>
      <c r="H174" s="96"/>
      <c r="I174" s="353"/>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6"/>
      <c r="E175" s="96"/>
      <c r="F175" s="96"/>
      <c r="G175" s="96"/>
      <c r="H175" s="96"/>
      <c r="I175" s="353"/>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6"/>
      <c r="E176" s="96"/>
      <c r="F176" s="96"/>
      <c r="G176" s="96"/>
      <c r="H176" s="96"/>
      <c r="I176" s="353"/>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6"/>
      <c r="E177" s="96"/>
      <c r="F177" s="96"/>
      <c r="G177" s="96"/>
      <c r="H177" s="96"/>
      <c r="I177" s="353"/>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6"/>
      <c r="E178" s="96"/>
      <c r="F178" s="96"/>
      <c r="G178" s="96"/>
      <c r="H178" s="96"/>
      <c r="I178" s="353"/>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6"/>
      <c r="E179" s="96"/>
      <c r="F179" s="96"/>
      <c r="G179" s="96"/>
      <c r="H179" s="96"/>
      <c r="I179" s="353"/>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6"/>
      <c r="E180" s="96"/>
      <c r="F180" s="96"/>
      <c r="G180" s="96"/>
      <c r="H180" s="96"/>
      <c r="I180" s="353"/>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6"/>
      <c r="E181" s="96"/>
      <c r="F181" s="96"/>
      <c r="G181" s="96"/>
      <c r="H181" s="96"/>
      <c r="I181" s="353"/>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6"/>
      <c r="E182" s="96"/>
      <c r="F182" s="96"/>
      <c r="G182" s="96"/>
      <c r="H182" s="96"/>
      <c r="I182" s="353"/>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6"/>
      <c r="E183" s="96"/>
      <c r="F183" s="96"/>
      <c r="G183" s="96"/>
      <c r="H183" s="96"/>
      <c r="I183" s="353"/>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6"/>
      <c r="E184" s="96"/>
      <c r="F184" s="96"/>
      <c r="G184" s="96"/>
      <c r="H184" s="96"/>
      <c r="I184" s="353"/>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6"/>
      <c r="E185" s="96"/>
      <c r="F185" s="96"/>
      <c r="G185" s="96"/>
      <c r="H185" s="96"/>
      <c r="I185" s="353"/>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6"/>
      <c r="E186" s="96"/>
      <c r="F186" s="96"/>
      <c r="G186" s="96"/>
      <c r="H186" s="96"/>
      <c r="I186" s="353"/>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6"/>
      <c r="E187" s="96"/>
      <c r="F187" s="96"/>
      <c r="G187" s="96"/>
      <c r="H187" s="96"/>
      <c r="I187" s="353"/>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6"/>
      <c r="E188" s="96"/>
      <c r="F188" s="96"/>
      <c r="G188" s="96"/>
      <c r="H188" s="96"/>
      <c r="I188" s="353"/>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6"/>
      <c r="E189" s="96"/>
      <c r="F189" s="96"/>
      <c r="G189" s="96"/>
      <c r="H189" s="96"/>
      <c r="I189" s="353"/>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6"/>
      <c r="E190" s="96"/>
      <c r="F190" s="96"/>
      <c r="G190" s="96"/>
      <c r="H190" s="96"/>
      <c r="I190" s="353"/>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6"/>
      <c r="E191" s="96"/>
      <c r="F191" s="96"/>
      <c r="G191" s="96"/>
      <c r="H191" s="96"/>
      <c r="I191" s="353"/>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6"/>
      <c r="E192" s="96"/>
      <c r="F192" s="96"/>
      <c r="G192" s="96"/>
      <c r="H192" s="96"/>
      <c r="I192" s="353"/>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6"/>
      <c r="E193" s="96"/>
      <c r="F193" s="96"/>
      <c r="G193" s="96"/>
      <c r="H193" s="96"/>
      <c r="I193" s="353"/>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6"/>
      <c r="E194" s="96"/>
      <c r="F194" s="96"/>
      <c r="G194" s="96"/>
      <c r="H194" s="96"/>
      <c r="I194" s="353"/>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6"/>
      <c r="E195" s="96"/>
      <c r="F195" s="96"/>
      <c r="G195" s="96"/>
      <c r="H195" s="96"/>
      <c r="I195" s="353"/>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6"/>
      <c r="E196" s="96"/>
      <c r="F196" s="96"/>
      <c r="G196" s="96"/>
      <c r="H196" s="96"/>
      <c r="I196" s="353"/>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6"/>
      <c r="E197" s="96"/>
      <c r="F197" s="96"/>
      <c r="G197" s="96"/>
      <c r="H197" s="96"/>
      <c r="I197" s="353"/>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6"/>
      <c r="E198" s="96"/>
      <c r="F198" s="96"/>
      <c r="G198" s="96"/>
      <c r="H198" s="96"/>
      <c r="I198" s="353"/>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6"/>
      <c r="E199" s="96"/>
      <c r="F199" s="96"/>
      <c r="G199" s="96"/>
      <c r="H199" s="96"/>
      <c r="I199" s="353"/>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6"/>
      <c r="E200" s="96"/>
      <c r="F200" s="96"/>
      <c r="G200" s="96"/>
      <c r="H200" s="96"/>
      <c r="I200" s="353"/>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6"/>
      <c r="E201" s="96"/>
      <c r="F201" s="96"/>
      <c r="G201" s="96"/>
      <c r="H201" s="96"/>
      <c r="I201" s="353"/>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6"/>
      <c r="E202" s="96"/>
      <c r="F202" s="96"/>
      <c r="G202" s="96"/>
      <c r="H202" s="96"/>
      <c r="I202" s="353"/>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6"/>
      <c r="E203" s="96"/>
      <c r="F203" s="96"/>
      <c r="G203" s="96"/>
      <c r="H203" s="96"/>
      <c r="I203" s="353"/>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6"/>
      <c r="E204" s="96"/>
      <c r="F204" s="96"/>
      <c r="G204" s="96"/>
      <c r="H204" s="96"/>
      <c r="I204" s="353"/>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6"/>
      <c r="E205" s="96"/>
      <c r="F205" s="96"/>
      <c r="G205" s="96"/>
      <c r="H205" s="96"/>
      <c r="I205" s="353"/>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6"/>
      <c r="E206" s="96"/>
      <c r="F206" s="96"/>
      <c r="G206" s="96"/>
      <c r="H206" s="96"/>
      <c r="I206" s="353"/>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6"/>
      <c r="E207" s="96"/>
      <c r="F207" s="96"/>
      <c r="G207" s="96"/>
      <c r="H207" s="96"/>
      <c r="I207" s="353"/>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6"/>
      <c r="E208" s="96"/>
      <c r="F208" s="96"/>
      <c r="G208" s="96"/>
      <c r="H208" s="96"/>
      <c r="I208" s="353"/>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6"/>
      <c r="E209" s="96"/>
      <c r="F209" s="96"/>
      <c r="G209" s="96"/>
      <c r="H209" s="96"/>
      <c r="I209" s="353"/>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6"/>
      <c r="E210" s="96"/>
      <c r="F210" s="96"/>
      <c r="G210" s="96"/>
      <c r="H210" s="96"/>
      <c r="I210" s="353"/>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6"/>
      <c r="E211" s="96"/>
      <c r="F211" s="96"/>
      <c r="G211" s="96"/>
      <c r="H211" s="96"/>
      <c r="I211" s="353"/>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6"/>
      <c r="E212" s="96"/>
      <c r="F212" s="96"/>
      <c r="G212" s="96"/>
      <c r="H212" s="96"/>
      <c r="I212" s="353"/>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6"/>
      <c r="E213" s="96"/>
      <c r="F213" s="96"/>
      <c r="G213" s="96"/>
      <c r="H213" s="96"/>
      <c r="I213" s="353"/>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6"/>
      <c r="E214" s="96"/>
      <c r="F214" s="96"/>
      <c r="G214" s="96"/>
      <c r="H214" s="96"/>
      <c r="I214" s="353"/>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6"/>
      <c r="E215" s="96"/>
      <c r="F215" s="96"/>
      <c r="G215" s="96"/>
      <c r="H215" s="96"/>
      <c r="I215" s="353"/>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6"/>
      <c r="E216" s="96"/>
      <c r="F216" s="96"/>
      <c r="G216" s="96"/>
      <c r="H216" s="96"/>
      <c r="I216" s="353"/>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6"/>
      <c r="E217" s="96"/>
      <c r="F217" s="96"/>
      <c r="G217" s="96"/>
      <c r="H217" s="96"/>
      <c r="I217" s="353"/>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6"/>
      <c r="E218" s="96"/>
      <c r="F218" s="96"/>
      <c r="G218" s="96"/>
      <c r="H218" s="96"/>
      <c r="I218" s="353"/>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6"/>
      <c r="E219" s="96"/>
      <c r="F219" s="96"/>
      <c r="G219" s="96"/>
      <c r="H219" s="96"/>
      <c r="I219" s="353"/>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6"/>
      <c r="E220" s="96"/>
      <c r="F220" s="96"/>
      <c r="G220" s="96"/>
      <c r="H220" s="96"/>
      <c r="I220" s="353"/>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6"/>
      <c r="E221" s="96"/>
      <c r="F221" s="96"/>
      <c r="G221" s="96"/>
      <c r="H221" s="96"/>
      <c r="I221" s="353"/>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6"/>
      <c r="E222" s="96"/>
      <c r="F222" s="96"/>
      <c r="G222" s="96"/>
      <c r="H222" s="96"/>
      <c r="I222" s="353"/>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6"/>
      <c r="E223" s="96"/>
      <c r="F223" s="96"/>
      <c r="G223" s="96"/>
      <c r="H223" s="96"/>
      <c r="I223" s="353"/>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6"/>
      <c r="E224" s="96"/>
      <c r="F224" s="96"/>
      <c r="G224" s="96"/>
      <c r="H224" s="96"/>
      <c r="I224" s="353"/>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6"/>
      <c r="E225" s="96"/>
      <c r="F225" s="96"/>
      <c r="G225" s="96"/>
      <c r="H225" s="96"/>
      <c r="I225" s="353"/>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6"/>
      <c r="E226" s="96"/>
      <c r="F226" s="96"/>
      <c r="G226" s="96"/>
      <c r="H226" s="96"/>
      <c r="I226" s="353"/>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6"/>
      <c r="E227" s="96"/>
      <c r="F227" s="96"/>
      <c r="G227" s="96"/>
      <c r="H227" s="96"/>
      <c r="I227" s="353"/>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6"/>
      <c r="E228" s="96"/>
      <c r="F228" s="96"/>
      <c r="G228" s="96"/>
      <c r="H228" s="96"/>
      <c r="I228" s="353"/>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6"/>
      <c r="E229" s="96"/>
      <c r="F229" s="96"/>
      <c r="G229" s="96"/>
      <c r="H229" s="96"/>
      <c r="I229" s="353"/>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6"/>
      <c r="E230" s="96"/>
      <c r="F230" s="96"/>
      <c r="G230" s="96"/>
      <c r="H230" s="96"/>
      <c r="I230" s="353"/>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6"/>
      <c r="E231" s="96"/>
      <c r="F231" s="96"/>
      <c r="G231" s="96"/>
      <c r="H231" s="96"/>
      <c r="I231" s="353"/>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6"/>
      <c r="E232" s="96"/>
      <c r="F232" s="96"/>
      <c r="G232" s="96"/>
      <c r="H232" s="96"/>
      <c r="I232" s="353"/>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6"/>
      <c r="E233" s="96"/>
      <c r="F233" s="96"/>
      <c r="G233" s="96"/>
      <c r="H233" s="96"/>
      <c r="I233" s="353"/>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6"/>
      <c r="E234" s="96"/>
      <c r="F234" s="96"/>
      <c r="G234" s="96"/>
      <c r="H234" s="96"/>
      <c r="I234" s="353"/>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6"/>
      <c r="E235" s="96"/>
      <c r="F235" s="96"/>
      <c r="G235" s="96"/>
      <c r="H235" s="96"/>
      <c r="I235" s="353"/>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6"/>
      <c r="E236" s="96"/>
      <c r="F236" s="96"/>
      <c r="G236" s="96"/>
      <c r="H236" s="96"/>
      <c r="I236" s="353"/>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6"/>
      <c r="E237" s="96"/>
      <c r="F237" s="96"/>
      <c r="G237" s="96"/>
      <c r="H237" s="96"/>
      <c r="I237" s="353"/>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6"/>
      <c r="E238" s="96"/>
      <c r="F238" s="96"/>
      <c r="G238" s="96"/>
      <c r="H238" s="96"/>
      <c r="I238" s="353"/>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6"/>
      <c r="E239" s="96"/>
      <c r="F239" s="96"/>
      <c r="G239" s="96"/>
      <c r="H239" s="96"/>
      <c r="I239" s="353"/>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6"/>
      <c r="E240" s="96"/>
      <c r="F240" s="96"/>
      <c r="G240" s="96"/>
      <c r="H240" s="96"/>
      <c r="I240" s="353"/>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6"/>
      <c r="E241" s="96"/>
      <c r="F241" s="96"/>
      <c r="G241" s="96"/>
      <c r="H241" s="96"/>
      <c r="I241" s="353"/>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6"/>
      <c r="E242" s="96"/>
      <c r="F242" s="96"/>
      <c r="G242" s="96"/>
      <c r="H242" s="96"/>
      <c r="I242" s="353"/>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6"/>
      <c r="E243" s="96"/>
      <c r="F243" s="96"/>
      <c r="G243" s="96"/>
      <c r="H243" s="96"/>
      <c r="I243" s="353"/>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6"/>
      <c r="E244" s="96"/>
      <c r="F244" s="96"/>
      <c r="G244" s="96"/>
      <c r="H244" s="96"/>
      <c r="I244" s="353"/>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6"/>
      <c r="E245" s="96"/>
      <c r="F245" s="96"/>
      <c r="G245" s="96"/>
      <c r="H245" s="96"/>
      <c r="I245" s="353"/>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6"/>
      <c r="E246" s="96"/>
      <c r="F246" s="96"/>
      <c r="G246" s="96"/>
      <c r="H246" s="96"/>
      <c r="I246" s="353"/>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6"/>
      <c r="E247" s="96"/>
      <c r="F247" s="96"/>
      <c r="G247" s="96"/>
      <c r="H247" s="96"/>
      <c r="I247" s="353"/>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6"/>
      <c r="E248" s="96"/>
      <c r="F248" s="96"/>
      <c r="G248" s="96"/>
      <c r="H248" s="96"/>
      <c r="I248" s="353"/>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6"/>
      <c r="E249" s="96"/>
      <c r="F249" s="96"/>
      <c r="G249" s="96"/>
      <c r="H249" s="96"/>
      <c r="I249" s="353"/>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6"/>
      <c r="E250" s="96"/>
      <c r="F250" s="96"/>
      <c r="G250" s="96"/>
      <c r="H250" s="96"/>
      <c r="I250" s="353"/>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6"/>
      <c r="E251" s="96"/>
      <c r="F251" s="96"/>
      <c r="G251" s="96"/>
      <c r="H251" s="96"/>
      <c r="I251" s="353"/>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6"/>
      <c r="E252" s="96"/>
      <c r="F252" s="96"/>
      <c r="G252" s="96"/>
      <c r="H252" s="96"/>
      <c r="I252" s="353"/>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6"/>
      <c r="E253" s="96"/>
      <c r="F253" s="96"/>
      <c r="G253" s="96"/>
      <c r="H253" s="96"/>
      <c r="I253" s="353"/>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6"/>
      <c r="E254" s="96"/>
      <c r="F254" s="96"/>
      <c r="G254" s="96"/>
      <c r="H254" s="96"/>
      <c r="I254" s="353"/>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6"/>
      <c r="E255" s="96"/>
      <c r="F255" s="96"/>
      <c r="G255" s="96"/>
      <c r="H255" s="96"/>
      <c r="I255" s="353"/>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6"/>
      <c r="E256" s="96"/>
      <c r="F256" s="96"/>
      <c r="G256" s="96"/>
      <c r="H256" s="96"/>
      <c r="I256" s="353"/>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6"/>
      <c r="E257" s="96"/>
      <c r="F257" s="96"/>
      <c r="G257" s="96"/>
      <c r="H257" s="96"/>
      <c r="I257" s="353"/>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6"/>
      <c r="E258" s="96"/>
      <c r="F258" s="96"/>
      <c r="G258" s="96"/>
      <c r="H258" s="96"/>
      <c r="I258" s="353"/>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6"/>
      <c r="E259" s="96"/>
      <c r="F259" s="96"/>
      <c r="G259" s="96"/>
      <c r="H259" s="96"/>
      <c r="I259" s="353"/>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6"/>
      <c r="E260" s="96"/>
      <c r="F260" s="96"/>
      <c r="G260" s="96"/>
      <c r="H260" s="96"/>
      <c r="I260" s="353"/>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6"/>
      <c r="E261" s="96"/>
      <c r="F261" s="96"/>
      <c r="G261" s="96"/>
      <c r="H261" s="96"/>
      <c r="I261" s="353"/>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6"/>
      <c r="E262" s="96"/>
      <c r="F262" s="96"/>
      <c r="G262" s="96"/>
      <c r="H262" s="96"/>
      <c r="I262" s="353"/>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6"/>
      <c r="E263" s="96"/>
      <c r="F263" s="96"/>
      <c r="G263" s="96"/>
      <c r="H263" s="96"/>
      <c r="I263" s="353"/>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6"/>
      <c r="E264" s="96"/>
      <c r="F264" s="96"/>
      <c r="G264" s="96"/>
      <c r="H264" s="96"/>
      <c r="I264" s="353"/>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6"/>
      <c r="E265" s="96"/>
      <c r="F265" s="96"/>
      <c r="G265" s="96"/>
      <c r="H265" s="96"/>
      <c r="I265" s="353"/>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6"/>
      <c r="E266" s="96"/>
      <c r="F266" s="96"/>
      <c r="G266" s="96"/>
      <c r="H266" s="96"/>
      <c r="I266" s="353"/>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6"/>
      <c r="E267" s="96"/>
      <c r="F267" s="96"/>
      <c r="G267" s="96"/>
      <c r="H267" s="96"/>
      <c r="I267" s="353"/>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6"/>
      <c r="E268" s="96"/>
      <c r="F268" s="96"/>
      <c r="G268" s="96"/>
      <c r="H268" s="96"/>
      <c r="I268" s="353"/>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6"/>
      <c r="E269" s="96"/>
      <c r="F269" s="96"/>
      <c r="G269" s="96"/>
      <c r="H269" s="96"/>
      <c r="I269" s="353"/>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6"/>
      <c r="E270" s="96"/>
      <c r="F270" s="96"/>
      <c r="G270" s="96"/>
      <c r="H270" s="96"/>
      <c r="I270" s="353"/>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6"/>
      <c r="E271" s="96"/>
      <c r="F271" s="96"/>
      <c r="G271" s="96"/>
      <c r="H271" s="96"/>
      <c r="I271" s="353"/>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6"/>
      <c r="E272" s="96"/>
      <c r="F272" s="96"/>
      <c r="G272" s="96"/>
      <c r="H272" s="96"/>
      <c r="I272" s="353"/>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6"/>
      <c r="E273" s="96"/>
      <c r="F273" s="96"/>
      <c r="G273" s="96"/>
      <c r="H273" s="96"/>
      <c r="I273" s="353"/>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6"/>
      <c r="E274" s="96"/>
      <c r="F274" s="96"/>
      <c r="G274" s="96"/>
      <c r="H274" s="96"/>
      <c r="I274" s="353"/>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6"/>
      <c r="E275" s="96"/>
      <c r="F275" s="96"/>
      <c r="G275" s="96"/>
      <c r="H275" s="96"/>
      <c r="I275" s="353"/>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6"/>
      <c r="E276" s="96"/>
      <c r="F276" s="96"/>
      <c r="G276" s="96"/>
      <c r="H276" s="96"/>
      <c r="I276" s="353"/>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6"/>
      <c r="E277" s="96"/>
      <c r="F277" s="96"/>
      <c r="G277" s="96"/>
      <c r="H277" s="96"/>
      <c r="I277" s="353"/>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6"/>
      <c r="E278" s="96"/>
      <c r="F278" s="96"/>
      <c r="G278" s="96"/>
      <c r="H278" s="96"/>
      <c r="I278" s="353"/>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6"/>
      <c r="E279" s="96"/>
      <c r="F279" s="96"/>
      <c r="G279" s="96"/>
      <c r="H279" s="96"/>
      <c r="I279" s="353"/>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6"/>
      <c r="E280" s="96"/>
      <c r="F280" s="96"/>
      <c r="G280" s="96"/>
      <c r="H280" s="96"/>
      <c r="I280" s="353"/>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6"/>
      <c r="E281" s="96"/>
      <c r="F281" s="96"/>
      <c r="G281" s="96"/>
      <c r="H281" s="96"/>
      <c r="I281" s="353"/>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6"/>
      <c r="E282" s="96"/>
      <c r="F282" s="96"/>
      <c r="G282" s="96"/>
      <c r="H282" s="96"/>
      <c r="I282" s="353"/>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6"/>
      <c r="E283" s="96"/>
      <c r="F283" s="96"/>
      <c r="G283" s="96"/>
      <c r="H283" s="96"/>
      <c r="I283" s="353"/>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6"/>
      <c r="E284" s="96"/>
      <c r="F284" s="96"/>
      <c r="G284" s="96"/>
      <c r="H284" s="96"/>
      <c r="I284" s="353"/>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6"/>
      <c r="E285" s="96"/>
      <c r="F285" s="96"/>
      <c r="G285" s="96"/>
      <c r="H285" s="96"/>
      <c r="I285" s="353"/>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6"/>
      <c r="E286" s="96"/>
      <c r="F286" s="96"/>
      <c r="G286" s="96"/>
      <c r="H286" s="96"/>
      <c r="I286" s="353"/>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6"/>
      <c r="E287" s="96"/>
      <c r="F287" s="96"/>
      <c r="G287" s="96"/>
      <c r="H287" s="96"/>
      <c r="I287" s="353"/>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6"/>
      <c r="E288" s="96"/>
      <c r="F288" s="96"/>
      <c r="G288" s="96"/>
      <c r="H288" s="96"/>
      <c r="I288" s="353"/>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6"/>
      <c r="E289" s="96"/>
      <c r="F289" s="96"/>
      <c r="G289" s="96"/>
      <c r="H289" s="96"/>
      <c r="I289" s="353"/>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6"/>
      <c r="E290" s="96"/>
      <c r="F290" s="96"/>
      <c r="G290" s="96"/>
      <c r="H290" s="96"/>
      <c r="I290" s="353"/>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6"/>
      <c r="E291" s="96"/>
      <c r="F291" s="96"/>
      <c r="G291" s="96"/>
      <c r="H291" s="96"/>
      <c r="I291" s="353"/>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6"/>
      <c r="E292" s="96"/>
      <c r="F292" s="96"/>
      <c r="G292" s="96"/>
      <c r="H292" s="96"/>
      <c r="I292" s="353"/>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6"/>
      <c r="E293" s="96"/>
      <c r="F293" s="96"/>
      <c r="G293" s="96"/>
      <c r="H293" s="96"/>
      <c r="I293" s="353"/>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6"/>
      <c r="E294" s="96"/>
      <c r="F294" s="96"/>
      <c r="G294" s="96"/>
      <c r="H294" s="96"/>
      <c r="I294" s="353"/>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6"/>
      <c r="E295" s="96"/>
      <c r="F295" s="96"/>
      <c r="G295" s="96"/>
      <c r="H295" s="96"/>
      <c r="I295" s="353"/>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6"/>
      <c r="E296" s="96"/>
      <c r="F296" s="96"/>
      <c r="G296" s="96"/>
      <c r="H296" s="96"/>
      <c r="I296" s="353"/>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6"/>
      <c r="E297" s="96"/>
      <c r="F297" s="96"/>
      <c r="G297" s="96"/>
      <c r="H297" s="96"/>
      <c r="I297" s="353"/>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6"/>
      <c r="E298" s="96"/>
      <c r="F298" s="96"/>
      <c r="G298" s="96"/>
      <c r="H298" s="96"/>
      <c r="I298" s="353"/>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6"/>
      <c r="E299" s="96"/>
      <c r="F299" s="96"/>
      <c r="G299" s="96"/>
      <c r="H299" s="96"/>
      <c r="I299" s="353"/>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6"/>
      <c r="E300" s="96"/>
      <c r="F300" s="96"/>
      <c r="G300" s="96"/>
      <c r="H300" s="96"/>
      <c r="I300" s="353"/>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6"/>
      <c r="E301" s="96"/>
      <c r="F301" s="96"/>
      <c r="G301" s="96"/>
      <c r="H301" s="96"/>
      <c r="I301" s="353"/>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6"/>
      <c r="E302" s="96"/>
      <c r="F302" s="96"/>
      <c r="G302" s="96"/>
      <c r="H302" s="96"/>
      <c r="I302" s="353"/>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6"/>
      <c r="E303" s="96"/>
      <c r="F303" s="96"/>
      <c r="G303" s="96"/>
      <c r="H303" s="96"/>
      <c r="I303" s="353"/>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6"/>
      <c r="E304" s="96"/>
      <c r="F304" s="96"/>
      <c r="G304" s="96"/>
      <c r="H304" s="96"/>
      <c r="I304" s="353"/>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6"/>
      <c r="E305" s="96"/>
      <c r="F305" s="96"/>
      <c r="G305" s="96"/>
      <c r="H305" s="96"/>
      <c r="I305" s="353"/>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6"/>
      <c r="E306" s="96"/>
      <c r="F306" s="96"/>
      <c r="G306" s="96"/>
      <c r="H306" s="96"/>
      <c r="I306" s="353"/>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6"/>
      <c r="E307" s="96"/>
      <c r="F307" s="96"/>
      <c r="G307" s="96"/>
      <c r="H307" s="96"/>
      <c r="I307" s="353"/>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6"/>
      <c r="E308" s="96"/>
      <c r="F308" s="96"/>
      <c r="G308" s="96"/>
      <c r="H308" s="96"/>
      <c r="I308" s="353"/>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6"/>
      <c r="E309" s="96"/>
      <c r="F309" s="96"/>
      <c r="G309" s="96"/>
      <c r="H309" s="96"/>
      <c r="I309" s="353"/>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6"/>
      <c r="E310" s="96"/>
      <c r="F310" s="96"/>
      <c r="G310" s="96"/>
      <c r="H310" s="96"/>
      <c r="I310" s="353"/>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6"/>
      <c r="E311" s="96"/>
      <c r="F311" s="96"/>
      <c r="G311" s="96"/>
      <c r="H311" s="96"/>
      <c r="I311" s="353"/>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6"/>
      <c r="E312" s="96"/>
      <c r="F312" s="96"/>
      <c r="G312" s="96"/>
      <c r="H312" s="96"/>
      <c r="I312" s="353"/>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6"/>
      <c r="E313" s="96"/>
      <c r="F313" s="96"/>
      <c r="G313" s="96"/>
      <c r="H313" s="96"/>
      <c r="I313" s="353"/>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6"/>
      <c r="E314" s="96"/>
      <c r="F314" s="96"/>
      <c r="G314" s="96"/>
      <c r="H314" s="96"/>
      <c r="I314" s="353"/>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6"/>
      <c r="E315" s="96"/>
      <c r="F315" s="96"/>
      <c r="G315" s="96"/>
      <c r="H315" s="96"/>
      <c r="I315" s="353"/>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6"/>
      <c r="E316" s="96"/>
      <c r="F316" s="96"/>
      <c r="G316" s="96"/>
      <c r="H316" s="96"/>
      <c r="I316" s="353"/>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6"/>
      <c r="E317" s="96"/>
      <c r="F317" s="96"/>
      <c r="G317" s="96"/>
      <c r="H317" s="96"/>
      <c r="I317" s="353"/>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6"/>
      <c r="E318" s="96"/>
      <c r="F318" s="96"/>
      <c r="G318" s="96"/>
      <c r="H318" s="96"/>
      <c r="I318" s="353"/>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6"/>
      <c r="E319" s="96"/>
      <c r="F319" s="96"/>
      <c r="G319" s="96"/>
      <c r="H319" s="96"/>
      <c r="I319" s="353"/>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6"/>
      <c r="E320" s="96"/>
      <c r="F320" s="96"/>
      <c r="G320" s="96"/>
      <c r="H320" s="96"/>
      <c r="I320" s="353"/>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6"/>
      <c r="E321" s="96"/>
      <c r="F321" s="96"/>
      <c r="G321" s="96"/>
      <c r="H321" s="96"/>
      <c r="I321" s="353"/>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6"/>
      <c r="E322" s="96"/>
      <c r="F322" s="96"/>
      <c r="G322" s="96"/>
      <c r="H322" s="96"/>
      <c r="I322" s="353"/>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6"/>
      <c r="E323" s="96"/>
      <c r="F323" s="96"/>
      <c r="G323" s="96"/>
      <c r="H323" s="96"/>
      <c r="I323" s="353"/>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6"/>
      <c r="E324" s="96"/>
      <c r="F324" s="96"/>
      <c r="G324" s="96"/>
      <c r="H324" s="96"/>
      <c r="I324" s="353"/>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6"/>
      <c r="E325" s="96"/>
      <c r="F325" s="96"/>
      <c r="G325" s="96"/>
      <c r="H325" s="96"/>
      <c r="I325" s="353"/>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6"/>
      <c r="E326" s="96"/>
      <c r="F326" s="96"/>
      <c r="G326" s="96"/>
      <c r="H326" s="96"/>
      <c r="I326" s="353"/>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6"/>
      <c r="E327" s="96"/>
      <c r="F327" s="96"/>
      <c r="G327" s="96"/>
      <c r="H327" s="96"/>
      <c r="I327" s="353"/>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6"/>
      <c r="E328" s="96"/>
      <c r="F328" s="96"/>
      <c r="G328" s="96"/>
      <c r="H328" s="96"/>
      <c r="I328" s="353"/>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6"/>
      <c r="E329" s="96"/>
      <c r="F329" s="96"/>
      <c r="G329" s="96"/>
      <c r="H329" s="96"/>
      <c r="I329" s="353"/>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6"/>
      <c r="E330" s="96"/>
      <c r="F330" s="96"/>
      <c r="G330" s="96"/>
      <c r="H330" s="96"/>
      <c r="I330" s="353"/>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6"/>
      <c r="E331" s="96"/>
      <c r="F331" s="96"/>
      <c r="G331" s="96"/>
      <c r="H331" s="96"/>
      <c r="I331" s="353"/>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6"/>
      <c r="E332" s="96"/>
      <c r="F332" s="96"/>
      <c r="G332" s="96"/>
      <c r="H332" s="96"/>
      <c r="I332" s="353"/>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6"/>
      <c r="E333" s="96"/>
      <c r="F333" s="96"/>
      <c r="G333" s="96"/>
      <c r="H333" s="96"/>
      <c r="I333" s="353"/>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6"/>
      <c r="E334" s="96"/>
      <c r="F334" s="96"/>
      <c r="G334" s="96"/>
      <c r="H334" s="96"/>
      <c r="I334" s="353"/>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6"/>
      <c r="E335" s="96"/>
      <c r="F335" s="96"/>
      <c r="G335" s="96"/>
      <c r="H335" s="96"/>
      <c r="I335" s="353"/>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6"/>
      <c r="E336" s="96"/>
      <c r="F336" s="96"/>
      <c r="G336" s="96"/>
      <c r="H336" s="96"/>
      <c r="I336" s="353"/>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6"/>
      <c r="E337" s="96"/>
      <c r="F337" s="96"/>
      <c r="G337" s="96"/>
      <c r="H337" s="96"/>
      <c r="I337" s="353"/>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6"/>
      <c r="E338" s="96"/>
      <c r="F338" s="96"/>
      <c r="G338" s="96"/>
      <c r="H338" s="96"/>
      <c r="I338" s="353"/>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6"/>
      <c r="E339" s="96"/>
      <c r="F339" s="96"/>
      <c r="G339" s="96"/>
      <c r="H339" s="96"/>
      <c r="I339" s="353"/>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6"/>
      <c r="E340" s="96"/>
      <c r="F340" s="96"/>
      <c r="G340" s="96"/>
      <c r="H340" s="96"/>
      <c r="I340" s="353"/>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6"/>
      <c r="E341" s="96"/>
      <c r="F341" s="96"/>
      <c r="G341" s="96"/>
      <c r="H341" s="96"/>
      <c r="I341" s="353"/>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6"/>
      <c r="E342" s="96"/>
      <c r="F342" s="96"/>
      <c r="G342" s="96"/>
      <c r="H342" s="96"/>
      <c r="I342" s="353"/>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6"/>
      <c r="E343" s="96"/>
      <c r="F343" s="96"/>
      <c r="G343" s="96"/>
      <c r="H343" s="96"/>
      <c r="I343" s="353"/>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6"/>
      <c r="E344" s="96"/>
      <c r="F344" s="96"/>
      <c r="G344" s="96"/>
      <c r="H344" s="96"/>
      <c r="I344" s="353"/>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6"/>
      <c r="E345" s="96"/>
      <c r="F345" s="96"/>
      <c r="G345" s="96"/>
      <c r="H345" s="96"/>
      <c r="I345" s="353"/>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6"/>
      <c r="E346" s="96"/>
      <c r="F346" s="96"/>
      <c r="G346" s="96"/>
      <c r="H346" s="96"/>
      <c r="I346" s="353"/>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6"/>
      <c r="E347" s="96"/>
      <c r="F347" s="96"/>
      <c r="G347" s="96"/>
      <c r="H347" s="96"/>
      <c r="I347" s="353"/>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6"/>
      <c r="E348" s="96"/>
      <c r="F348" s="96"/>
      <c r="G348" s="96"/>
      <c r="H348" s="96"/>
      <c r="I348" s="353"/>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6"/>
      <c r="E349" s="96"/>
      <c r="F349" s="96"/>
      <c r="G349" s="96"/>
      <c r="H349" s="96"/>
      <c r="I349" s="353"/>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6"/>
      <c r="E350" s="96"/>
      <c r="F350" s="96"/>
      <c r="G350" s="96"/>
      <c r="H350" s="96"/>
      <c r="I350" s="353"/>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6"/>
      <c r="E351" s="96"/>
      <c r="F351" s="96"/>
      <c r="G351" s="96"/>
      <c r="H351" s="96"/>
      <c r="I351" s="353"/>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6"/>
      <c r="E352" s="96"/>
      <c r="F352" s="96"/>
      <c r="G352" s="96"/>
      <c r="H352" s="96"/>
      <c r="I352" s="353"/>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6"/>
      <c r="E353" s="96"/>
      <c r="F353" s="96"/>
      <c r="G353" s="96"/>
      <c r="H353" s="96"/>
      <c r="I353" s="353"/>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6"/>
      <c r="E354" s="96"/>
      <c r="F354" s="96"/>
      <c r="G354" s="96"/>
      <c r="H354" s="96"/>
      <c r="I354" s="353"/>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6"/>
      <c r="E355" s="96"/>
      <c r="F355" s="96"/>
      <c r="G355" s="96"/>
      <c r="H355" s="96"/>
      <c r="I355" s="353"/>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6"/>
      <c r="E356" s="96"/>
      <c r="F356" s="96"/>
      <c r="G356" s="96"/>
      <c r="H356" s="96"/>
      <c r="I356" s="353"/>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6"/>
      <c r="E357" s="96"/>
      <c r="F357" s="96"/>
      <c r="G357" s="96"/>
      <c r="H357" s="96"/>
      <c r="I357" s="353"/>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6"/>
      <c r="E358" s="96"/>
      <c r="F358" s="96"/>
      <c r="G358" s="96"/>
      <c r="H358" s="96"/>
      <c r="I358" s="353"/>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6"/>
      <c r="E359" s="96"/>
      <c r="F359" s="96"/>
      <c r="G359" s="96"/>
      <c r="H359" s="96"/>
      <c r="I359" s="353"/>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6"/>
      <c r="E360" s="96"/>
      <c r="F360" s="96"/>
      <c r="G360" s="96"/>
      <c r="H360" s="96"/>
      <c r="I360" s="353"/>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6"/>
      <c r="E361" s="96"/>
      <c r="F361" s="96"/>
      <c r="G361" s="96"/>
      <c r="H361" s="96"/>
      <c r="I361" s="353"/>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6"/>
      <c r="E362" s="96"/>
      <c r="F362" s="96"/>
      <c r="G362" s="96"/>
      <c r="H362" s="96"/>
      <c r="I362" s="353"/>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6"/>
      <c r="E363" s="96"/>
      <c r="F363" s="96"/>
      <c r="G363" s="96"/>
      <c r="H363" s="96"/>
      <c r="I363" s="353"/>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6"/>
      <c r="E364" s="96"/>
      <c r="F364" s="96"/>
      <c r="G364" s="96"/>
      <c r="H364" s="96"/>
      <c r="I364" s="353"/>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6"/>
      <c r="E365" s="96"/>
      <c r="F365" s="96"/>
      <c r="G365" s="96"/>
      <c r="H365" s="96"/>
      <c r="I365" s="353"/>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6"/>
      <c r="E366" s="96"/>
      <c r="F366" s="96"/>
      <c r="G366" s="96"/>
      <c r="H366" s="96"/>
      <c r="I366" s="353"/>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6"/>
      <c r="E367" s="96"/>
      <c r="F367" s="96"/>
      <c r="G367" s="96"/>
      <c r="H367" s="96"/>
      <c r="I367" s="353"/>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6"/>
      <c r="E368" s="96"/>
      <c r="F368" s="96"/>
      <c r="G368" s="96"/>
      <c r="H368" s="96"/>
      <c r="I368" s="353"/>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6"/>
      <c r="E369" s="96"/>
      <c r="F369" s="96"/>
      <c r="G369" s="96"/>
      <c r="H369" s="96"/>
      <c r="I369" s="353"/>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6"/>
      <c r="E370" s="96"/>
      <c r="F370" s="96"/>
      <c r="G370" s="96"/>
      <c r="H370" s="96"/>
      <c r="I370" s="353"/>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6"/>
      <c r="E371" s="96"/>
      <c r="F371" s="96"/>
      <c r="G371" s="96"/>
      <c r="H371" s="96"/>
      <c r="I371" s="353"/>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6"/>
      <c r="E372" s="96"/>
      <c r="F372" s="96"/>
      <c r="G372" s="96"/>
      <c r="H372" s="96"/>
      <c r="I372" s="353"/>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6"/>
      <c r="E373" s="96"/>
      <c r="F373" s="96"/>
      <c r="G373" s="96"/>
      <c r="H373" s="96"/>
      <c r="I373" s="353"/>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6"/>
      <c r="E374" s="96"/>
      <c r="F374" s="96"/>
      <c r="G374" s="96"/>
      <c r="H374" s="96"/>
      <c r="I374" s="353"/>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6"/>
      <c r="E375" s="96"/>
      <c r="F375" s="96"/>
      <c r="G375" s="96"/>
      <c r="H375" s="96"/>
      <c r="I375" s="353"/>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6"/>
      <c r="E376" s="96"/>
      <c r="F376" s="96"/>
      <c r="G376" s="96"/>
      <c r="H376" s="96"/>
      <c r="I376" s="353"/>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6"/>
      <c r="E377" s="96"/>
      <c r="F377" s="96"/>
      <c r="G377" s="96"/>
      <c r="H377" s="96"/>
      <c r="I377" s="353"/>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6"/>
      <c r="E378" s="96"/>
      <c r="F378" s="96"/>
      <c r="G378" s="96"/>
      <c r="H378" s="96"/>
      <c r="I378" s="353"/>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6"/>
      <c r="E379" s="96"/>
      <c r="F379" s="96"/>
      <c r="G379" s="96"/>
      <c r="H379" s="96"/>
      <c r="I379" s="353"/>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6"/>
      <c r="E380" s="96"/>
      <c r="F380" s="96"/>
      <c r="G380" s="96"/>
      <c r="H380" s="96"/>
      <c r="I380" s="353"/>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6"/>
      <c r="E381" s="96"/>
      <c r="F381" s="96"/>
      <c r="G381" s="96"/>
      <c r="H381" s="96"/>
      <c r="I381" s="353"/>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6"/>
      <c r="E382" s="96"/>
      <c r="F382" s="96"/>
      <c r="G382" s="96"/>
      <c r="H382" s="96"/>
      <c r="I382" s="353"/>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6"/>
      <c r="E383" s="96"/>
      <c r="F383" s="96"/>
      <c r="G383" s="96"/>
      <c r="H383" s="96"/>
      <c r="I383" s="96"/>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6"/>
      <c r="E384" s="96"/>
      <c r="F384" s="96"/>
      <c r="G384" s="96"/>
      <c r="H384" s="96"/>
      <c r="I384" s="96"/>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6"/>
      <c r="E385" s="96"/>
      <c r="F385" s="96"/>
      <c r="G385" s="96"/>
      <c r="H385" s="96"/>
      <c r="I385" s="96"/>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6"/>
      <c r="E386" s="96"/>
      <c r="F386" s="96"/>
      <c r="G386" s="96"/>
      <c r="H386" s="96"/>
      <c r="I386" s="96"/>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6"/>
      <c r="E387" s="96"/>
      <c r="F387" s="96"/>
      <c r="G387" s="96"/>
      <c r="H387" s="96"/>
      <c r="I387" s="96"/>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6"/>
      <c r="E388" s="96"/>
      <c r="F388" s="96"/>
      <c r="G388" s="96"/>
      <c r="H388" s="96"/>
      <c r="I388" s="96"/>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6"/>
      <c r="E389" s="96"/>
      <c r="F389" s="96"/>
      <c r="G389" s="96"/>
      <c r="H389" s="96"/>
      <c r="I389" s="96"/>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6"/>
      <c r="E390" s="96"/>
      <c r="F390" s="96"/>
      <c r="G390" s="96"/>
      <c r="H390" s="96"/>
      <c r="I390" s="96"/>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6"/>
      <c r="E391" s="96"/>
      <c r="F391" s="96"/>
      <c r="G391" s="96"/>
      <c r="H391" s="96"/>
      <c r="I391" s="96"/>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6"/>
      <c r="E392" s="96"/>
      <c r="F392" s="96"/>
      <c r="G392" s="96"/>
      <c r="H392" s="96"/>
      <c r="I392" s="96"/>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6"/>
      <c r="E393" s="96"/>
      <c r="F393" s="96"/>
      <c r="G393" s="96"/>
      <c r="H393" s="96"/>
      <c r="I393" s="96"/>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6"/>
      <c r="E394" s="96"/>
      <c r="F394" s="96"/>
      <c r="G394" s="96"/>
      <c r="H394" s="96"/>
      <c r="I394" s="96"/>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6"/>
      <c r="E395" s="96"/>
      <c r="F395" s="96"/>
      <c r="G395" s="96"/>
      <c r="H395" s="96"/>
      <c r="I395" s="96"/>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6"/>
      <c r="E396" s="96"/>
      <c r="F396" s="96"/>
      <c r="G396" s="96"/>
      <c r="H396" s="96"/>
      <c r="I396" s="96"/>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6"/>
      <c r="E397" s="96"/>
      <c r="F397" s="96"/>
      <c r="G397" s="96"/>
      <c r="H397" s="96"/>
      <c r="I397" s="96"/>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6"/>
      <c r="E398" s="96"/>
      <c r="F398" s="96"/>
      <c r="G398" s="96"/>
      <c r="H398" s="96"/>
      <c r="I398" s="96"/>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6"/>
      <c r="E399" s="96"/>
      <c r="F399" s="96"/>
      <c r="G399" s="96"/>
      <c r="H399" s="96"/>
      <c r="I399" s="96"/>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6"/>
      <c r="E400" s="96"/>
      <c r="F400" s="96"/>
      <c r="G400" s="96"/>
      <c r="H400" s="96"/>
      <c r="I400" s="96"/>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6"/>
      <c r="E401" s="96"/>
      <c r="F401" s="96"/>
      <c r="G401" s="96"/>
      <c r="H401" s="96"/>
      <c r="I401" s="96"/>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6"/>
      <c r="E402" s="96"/>
      <c r="F402" s="96"/>
      <c r="G402" s="96"/>
      <c r="H402" s="96"/>
      <c r="I402" s="96"/>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6"/>
      <c r="E403" s="96"/>
      <c r="F403" s="96"/>
      <c r="G403" s="96"/>
      <c r="H403" s="96"/>
      <c r="I403" s="96"/>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6"/>
      <c r="E404" s="96"/>
      <c r="F404" s="96"/>
      <c r="G404" s="96"/>
      <c r="H404" s="96"/>
      <c r="I404" s="96"/>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6"/>
      <c r="E405" s="96"/>
      <c r="F405" s="96"/>
      <c r="G405" s="96"/>
      <c r="H405" s="96"/>
      <c r="I405" s="96"/>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6"/>
      <c r="E406" s="96"/>
      <c r="F406" s="96"/>
      <c r="G406" s="96"/>
      <c r="H406" s="96"/>
      <c r="I406" s="96"/>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6"/>
      <c r="E407" s="96"/>
      <c r="F407" s="96"/>
      <c r="G407" s="96"/>
      <c r="H407" s="96"/>
      <c r="I407" s="96"/>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6"/>
      <c r="E408" s="96"/>
      <c r="F408" s="96"/>
      <c r="G408" s="96"/>
      <c r="H408" s="96"/>
      <c r="I408" s="96"/>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6"/>
      <c r="E409" s="96"/>
      <c r="F409" s="96"/>
      <c r="G409" s="96"/>
      <c r="H409" s="96"/>
      <c r="I409" s="96"/>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6"/>
      <c r="E410" s="96"/>
      <c r="F410" s="96"/>
      <c r="G410" s="96"/>
      <c r="H410" s="96"/>
      <c r="I410" s="96"/>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6"/>
      <c r="E411" s="96"/>
      <c r="F411" s="96"/>
      <c r="G411" s="96"/>
      <c r="H411" s="96"/>
      <c r="I411" s="96"/>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6"/>
      <c r="E412" s="96"/>
      <c r="F412" s="96"/>
      <c r="G412" s="96"/>
      <c r="H412" s="96"/>
      <c r="I412" s="96"/>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6"/>
      <c r="E413" s="96"/>
      <c r="F413" s="96"/>
      <c r="G413" s="96"/>
      <c r="H413" s="96"/>
      <c r="I413" s="96"/>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6"/>
      <c r="E414" s="96"/>
      <c r="F414" s="96"/>
      <c r="G414" s="96"/>
      <c r="H414" s="96"/>
      <c r="I414" s="96"/>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6"/>
      <c r="E415" s="96"/>
      <c r="F415" s="96"/>
      <c r="G415" s="96"/>
      <c r="H415" s="96"/>
      <c r="I415" s="96"/>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6"/>
      <c r="E416" s="96"/>
      <c r="F416" s="96"/>
      <c r="G416" s="96"/>
      <c r="H416" s="96"/>
      <c r="I416" s="96"/>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6"/>
      <c r="E417" s="96"/>
      <c r="F417" s="96"/>
      <c r="G417" s="96"/>
      <c r="H417" s="96"/>
      <c r="I417" s="96"/>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6"/>
      <c r="E418" s="96"/>
      <c r="F418" s="96"/>
      <c r="G418" s="96"/>
      <c r="H418" s="96"/>
      <c r="I418" s="96"/>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6"/>
      <c r="E419" s="96"/>
      <c r="F419" s="96"/>
      <c r="G419" s="96"/>
      <c r="H419" s="96"/>
      <c r="I419" s="96"/>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6"/>
      <c r="E420" s="96"/>
      <c r="F420" s="96"/>
      <c r="G420" s="96"/>
      <c r="H420" s="96"/>
      <c r="I420" s="96"/>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6"/>
      <c r="E421" s="96"/>
      <c r="F421" s="96"/>
      <c r="G421" s="96"/>
      <c r="H421" s="96"/>
      <c r="I421" s="96"/>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6"/>
      <c r="E422" s="96"/>
      <c r="F422" s="96"/>
      <c r="G422" s="96"/>
      <c r="H422" s="96"/>
      <c r="I422" s="96"/>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6"/>
      <c r="E423" s="96"/>
      <c r="F423" s="96"/>
      <c r="G423" s="96"/>
      <c r="H423" s="96"/>
      <c r="I423" s="96"/>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6"/>
      <c r="E424" s="96"/>
      <c r="F424" s="96"/>
      <c r="G424" s="96"/>
      <c r="H424" s="96"/>
      <c r="I424" s="96"/>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6"/>
      <c r="E425" s="96"/>
      <c r="F425" s="96"/>
      <c r="G425" s="96"/>
      <c r="H425" s="96"/>
      <c r="I425" s="96"/>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6"/>
      <c r="E426" s="96"/>
      <c r="F426" s="96"/>
      <c r="G426" s="96"/>
      <c r="H426" s="96"/>
      <c r="I426" s="96"/>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6"/>
      <c r="E427" s="96"/>
      <c r="F427" s="96"/>
      <c r="G427" s="96"/>
      <c r="H427" s="96"/>
      <c r="I427" s="96"/>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6"/>
      <c r="E428" s="96"/>
      <c r="F428" s="96"/>
      <c r="G428" s="96"/>
      <c r="H428" s="96"/>
      <c r="I428" s="96"/>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6"/>
      <c r="E429" s="96"/>
      <c r="F429" s="96"/>
      <c r="G429" s="96"/>
      <c r="H429" s="96"/>
      <c r="I429" s="96"/>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6"/>
      <c r="E430" s="96"/>
      <c r="F430" s="96"/>
      <c r="G430" s="96"/>
      <c r="H430" s="96"/>
      <c r="I430" s="96"/>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6"/>
      <c r="E431" s="96"/>
      <c r="F431" s="96"/>
      <c r="G431" s="96"/>
      <c r="H431" s="96"/>
      <c r="I431" s="96"/>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6"/>
      <c r="E432" s="96"/>
      <c r="F432" s="96"/>
      <c r="G432" s="96"/>
      <c r="H432" s="96"/>
      <c r="I432" s="96"/>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6"/>
      <c r="E433" s="96"/>
      <c r="F433" s="96"/>
      <c r="G433" s="96"/>
      <c r="H433" s="96"/>
      <c r="I433" s="96"/>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6"/>
      <c r="E434" s="96"/>
      <c r="F434" s="96"/>
      <c r="G434" s="96"/>
      <c r="H434" s="96"/>
      <c r="I434" s="96"/>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6"/>
      <c r="E435" s="96"/>
      <c r="F435" s="96"/>
      <c r="G435" s="96"/>
      <c r="H435" s="96"/>
      <c r="I435" s="96"/>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6"/>
      <c r="E436" s="96"/>
      <c r="F436" s="96"/>
      <c r="G436" s="96"/>
      <c r="H436" s="96"/>
      <c r="I436" s="96"/>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6"/>
      <c r="E437" s="96"/>
      <c r="F437" s="96"/>
      <c r="G437" s="96"/>
      <c r="H437" s="96"/>
      <c r="I437" s="96"/>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6"/>
      <c r="E438" s="96"/>
      <c r="F438" s="96"/>
      <c r="G438" s="96"/>
      <c r="H438" s="96"/>
      <c r="I438" s="96"/>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6"/>
      <c r="E439" s="96"/>
      <c r="F439" s="96"/>
      <c r="G439" s="96"/>
      <c r="H439" s="96"/>
      <c r="I439" s="96"/>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6"/>
      <c r="E440" s="96"/>
      <c r="F440" s="96"/>
      <c r="G440" s="96"/>
      <c r="H440" s="96"/>
      <c r="I440" s="96"/>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6"/>
      <c r="E441" s="96"/>
      <c r="F441" s="96"/>
      <c r="G441" s="96"/>
      <c r="H441" s="96"/>
      <c r="I441" s="96"/>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6"/>
      <c r="E442" s="96"/>
      <c r="F442" s="96"/>
      <c r="G442" s="96"/>
      <c r="H442" s="96"/>
      <c r="I442" s="96"/>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6"/>
      <c r="E443" s="96"/>
      <c r="F443" s="96"/>
      <c r="G443" s="96"/>
      <c r="H443" s="96"/>
      <c r="I443" s="96"/>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6"/>
      <c r="E444" s="96"/>
      <c r="F444" s="96"/>
      <c r="G444" s="96"/>
      <c r="H444" s="96"/>
      <c r="I444" s="96"/>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6"/>
      <c r="E445" s="96"/>
      <c r="F445" s="96"/>
      <c r="G445" s="96"/>
      <c r="H445" s="96"/>
      <c r="I445" s="96"/>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6"/>
      <c r="E446" s="96"/>
      <c r="F446" s="96"/>
      <c r="G446" s="96"/>
      <c r="H446" s="96"/>
      <c r="I446" s="96"/>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6"/>
      <c r="E447" s="96"/>
      <c r="F447" s="96"/>
      <c r="G447" s="96"/>
      <c r="H447" s="96"/>
      <c r="I447" s="96"/>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6"/>
      <c r="E448" s="96"/>
      <c r="F448" s="96"/>
      <c r="G448" s="96"/>
      <c r="H448" s="96"/>
      <c r="I448" s="96"/>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6"/>
      <c r="E449" s="96"/>
      <c r="F449" s="96"/>
      <c r="G449" s="96"/>
      <c r="H449" s="96"/>
      <c r="I449" s="96"/>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6"/>
      <c r="E450" s="96"/>
      <c r="F450" s="96"/>
      <c r="G450" s="96"/>
      <c r="H450" s="96"/>
      <c r="I450" s="96"/>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6"/>
      <c r="E451" s="96"/>
      <c r="F451" s="96"/>
      <c r="G451" s="96"/>
      <c r="H451" s="96"/>
      <c r="I451" s="96"/>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6"/>
      <c r="E452" s="96"/>
      <c r="F452" s="96"/>
      <c r="G452" s="96"/>
      <c r="H452" s="96"/>
      <c r="I452" s="96"/>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6"/>
      <c r="E453" s="96"/>
      <c r="F453" s="96"/>
      <c r="G453" s="96"/>
      <c r="H453" s="96"/>
      <c r="I453" s="96"/>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6"/>
      <c r="E454" s="96"/>
      <c r="F454" s="96"/>
      <c r="G454" s="96"/>
      <c r="H454" s="96"/>
      <c r="I454" s="96"/>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6"/>
      <c r="E455" s="96"/>
      <c r="F455" s="96"/>
      <c r="G455" s="96"/>
      <c r="H455" s="96"/>
      <c r="I455" s="96"/>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6"/>
      <c r="E456" s="96"/>
      <c r="F456" s="96"/>
      <c r="G456" s="96"/>
      <c r="H456" s="96"/>
      <c r="I456" s="96"/>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6"/>
      <c r="E457" s="96"/>
      <c r="F457" s="96"/>
      <c r="G457" s="96"/>
      <c r="H457" s="96"/>
      <c r="I457" s="96"/>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6"/>
      <c r="E458" s="96"/>
      <c r="F458" s="96"/>
      <c r="G458" s="96"/>
      <c r="H458" s="96"/>
      <c r="I458" s="96"/>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6"/>
      <c r="E459" s="96"/>
      <c r="F459" s="96"/>
      <c r="G459" s="96"/>
      <c r="H459" s="96"/>
      <c r="I459" s="96"/>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6"/>
      <c r="E460" s="96"/>
      <c r="F460" s="96"/>
      <c r="G460" s="96"/>
      <c r="H460" s="96"/>
      <c r="I460" s="96"/>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6"/>
      <c r="E461" s="96"/>
      <c r="F461" s="96"/>
      <c r="G461" s="96"/>
      <c r="H461" s="96"/>
      <c r="I461" s="96"/>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6"/>
      <c r="E462" s="96"/>
      <c r="F462" s="96"/>
      <c r="G462" s="96"/>
      <c r="H462" s="96"/>
      <c r="I462" s="96"/>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6"/>
      <c r="E463" s="96"/>
      <c r="F463" s="96"/>
      <c r="G463" s="96"/>
      <c r="H463" s="96"/>
      <c r="I463" s="96"/>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6"/>
      <c r="E464" s="96"/>
      <c r="F464" s="96"/>
      <c r="G464" s="96"/>
      <c r="H464" s="96"/>
      <c r="I464" s="96"/>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6"/>
      <c r="E465" s="96"/>
      <c r="F465" s="96"/>
      <c r="G465" s="96"/>
      <c r="H465" s="96"/>
      <c r="I465" s="96"/>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6"/>
      <c r="E466" s="96"/>
      <c r="F466" s="96"/>
      <c r="G466" s="96"/>
      <c r="H466" s="96"/>
      <c r="I466" s="96"/>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6"/>
      <c r="E467" s="96"/>
      <c r="F467" s="96"/>
      <c r="G467" s="96"/>
      <c r="H467" s="96"/>
      <c r="I467" s="96"/>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6"/>
      <c r="E468" s="96"/>
      <c r="F468" s="96"/>
      <c r="G468" s="96"/>
      <c r="H468" s="96"/>
      <c r="I468" s="96"/>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6"/>
      <c r="E469" s="96"/>
      <c r="F469" s="96"/>
      <c r="G469" s="96"/>
      <c r="H469" s="96"/>
      <c r="I469" s="96"/>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6"/>
      <c r="E470" s="96"/>
      <c r="F470" s="96"/>
      <c r="G470" s="96"/>
      <c r="H470" s="96"/>
      <c r="I470" s="96"/>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6"/>
      <c r="E471" s="96"/>
      <c r="F471" s="96"/>
      <c r="G471" s="96"/>
      <c r="H471" s="96"/>
      <c r="I471" s="96"/>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6"/>
      <c r="E472" s="96"/>
      <c r="F472" s="96"/>
      <c r="G472" s="96"/>
      <c r="H472" s="96"/>
      <c r="I472" s="96"/>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6"/>
      <c r="E473" s="96"/>
      <c r="F473" s="96"/>
      <c r="G473" s="96"/>
      <c r="H473" s="96"/>
      <c r="I473" s="96"/>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6"/>
      <c r="E474" s="96"/>
      <c r="F474" s="96"/>
      <c r="G474" s="96"/>
      <c r="H474" s="96"/>
      <c r="I474" s="96"/>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6"/>
      <c r="E475" s="96"/>
      <c r="F475" s="96"/>
      <c r="G475" s="96"/>
      <c r="H475" s="96"/>
      <c r="I475" s="96"/>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6"/>
      <c r="E476" s="96"/>
      <c r="F476" s="96"/>
      <c r="G476" s="96"/>
      <c r="H476" s="96"/>
      <c r="I476" s="96"/>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6"/>
      <c r="E477" s="96"/>
      <c r="F477" s="96"/>
      <c r="G477" s="96"/>
      <c r="H477" s="96"/>
      <c r="I477" s="96"/>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6"/>
      <c r="E478" s="96"/>
      <c r="F478" s="96"/>
      <c r="G478" s="96"/>
      <c r="H478" s="96"/>
      <c r="I478" s="96"/>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6"/>
      <c r="E479" s="96"/>
      <c r="F479" s="96"/>
      <c r="G479" s="96"/>
      <c r="H479" s="96"/>
      <c r="I479" s="96"/>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6"/>
      <c r="E480" s="96"/>
      <c r="F480" s="96"/>
      <c r="G480" s="96"/>
      <c r="H480" s="96"/>
      <c r="I480" s="96"/>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6"/>
      <c r="E481" s="96"/>
      <c r="F481" s="96"/>
      <c r="G481" s="96"/>
      <c r="H481" s="96"/>
      <c r="I481" s="96"/>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6"/>
      <c r="E482" s="96"/>
      <c r="F482" s="96"/>
      <c r="G482" s="96"/>
      <c r="H482" s="96"/>
      <c r="I482" s="96"/>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6"/>
      <c r="E483" s="96"/>
      <c r="F483" s="96"/>
      <c r="G483" s="96"/>
      <c r="H483" s="96"/>
      <c r="I483" s="96"/>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6"/>
      <c r="E484" s="96"/>
      <c r="F484" s="96"/>
      <c r="G484" s="96"/>
      <c r="H484" s="96"/>
      <c r="I484" s="96"/>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6"/>
      <c r="E485" s="96"/>
      <c r="F485" s="96"/>
      <c r="G485" s="96"/>
      <c r="H485" s="96"/>
      <c r="I485" s="96"/>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6"/>
      <c r="E486" s="96"/>
      <c r="F486" s="96"/>
      <c r="G486" s="96"/>
      <c r="H486" s="96"/>
      <c r="I486" s="96"/>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6"/>
      <c r="E487" s="96"/>
      <c r="F487" s="96"/>
      <c r="G487" s="96"/>
      <c r="H487" s="96"/>
      <c r="I487" s="96"/>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6"/>
      <c r="E488" s="96"/>
      <c r="F488" s="96"/>
      <c r="G488" s="96"/>
      <c r="H488" s="96"/>
      <c r="I488" s="96"/>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6"/>
      <c r="E489" s="96"/>
      <c r="F489" s="96"/>
      <c r="G489" s="96"/>
      <c r="H489" s="96"/>
      <c r="I489" s="96"/>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6"/>
      <c r="E490" s="96"/>
      <c r="F490" s="96"/>
      <c r="G490" s="96"/>
      <c r="H490" s="96"/>
      <c r="I490" s="96"/>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6"/>
      <c r="E491" s="96"/>
      <c r="F491" s="96"/>
      <c r="G491" s="96"/>
      <c r="H491" s="96"/>
      <c r="I491" s="96"/>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6"/>
      <c r="E492" s="96"/>
      <c r="F492" s="96"/>
      <c r="G492" s="96"/>
      <c r="H492" s="96"/>
      <c r="I492" s="96"/>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6"/>
      <c r="E493" s="96"/>
      <c r="F493" s="96"/>
      <c r="G493" s="96"/>
      <c r="H493" s="96"/>
      <c r="I493" s="96"/>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6"/>
      <c r="E494" s="96"/>
      <c r="F494" s="96"/>
      <c r="G494" s="96"/>
      <c r="H494" s="96"/>
      <c r="I494" s="96"/>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6"/>
      <c r="E495" s="96"/>
      <c r="F495" s="96"/>
      <c r="G495" s="96"/>
      <c r="H495" s="96"/>
      <c r="I495" s="96"/>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6"/>
      <c r="E496" s="96"/>
      <c r="F496" s="96"/>
      <c r="G496" s="96"/>
      <c r="H496" s="96"/>
      <c r="I496" s="96"/>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6"/>
      <c r="E497" s="96"/>
      <c r="F497" s="96"/>
      <c r="G497" s="96"/>
      <c r="H497" s="96"/>
      <c r="I497" s="96"/>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6"/>
      <c r="E498" s="96"/>
      <c r="F498" s="96"/>
      <c r="G498" s="96"/>
      <c r="H498" s="96"/>
      <c r="I498" s="96"/>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6"/>
      <c r="E499" s="96"/>
      <c r="F499" s="96"/>
      <c r="G499" s="96"/>
      <c r="H499" s="96"/>
      <c r="I499" s="96"/>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6"/>
      <c r="E500" s="96"/>
      <c r="F500" s="96"/>
      <c r="G500" s="96"/>
      <c r="H500" s="96"/>
      <c r="I500" s="96"/>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6"/>
      <c r="E501" s="96"/>
      <c r="F501" s="96"/>
      <c r="G501" s="96"/>
      <c r="H501" s="96"/>
      <c r="I501" s="96"/>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6"/>
      <c r="E502" s="96"/>
      <c r="F502" s="96"/>
      <c r="G502" s="96"/>
      <c r="H502" s="96"/>
      <c r="I502" s="96"/>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6"/>
      <c r="E503" s="96"/>
      <c r="F503" s="96"/>
      <c r="G503" s="96"/>
      <c r="H503" s="96"/>
      <c r="I503" s="96"/>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6"/>
      <c r="E504" s="96"/>
      <c r="F504" s="96"/>
      <c r="G504" s="96"/>
      <c r="H504" s="96"/>
      <c r="I504" s="96"/>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6"/>
      <c r="E505" s="96"/>
      <c r="F505" s="96"/>
      <c r="G505" s="96"/>
      <c r="H505" s="96"/>
      <c r="I505" s="96"/>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6"/>
      <c r="E506" s="96"/>
      <c r="F506" s="96"/>
      <c r="G506" s="96"/>
      <c r="H506" s="96"/>
      <c r="I506" s="96"/>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6"/>
      <c r="E507" s="96"/>
      <c r="F507" s="96"/>
      <c r="G507" s="96"/>
      <c r="H507" s="96"/>
      <c r="I507" s="96"/>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6"/>
      <c r="E508" s="96"/>
      <c r="F508" s="96"/>
      <c r="G508" s="96"/>
      <c r="H508" s="96"/>
      <c r="I508" s="96"/>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6"/>
      <c r="E509" s="96"/>
      <c r="F509" s="96"/>
      <c r="G509" s="96"/>
      <c r="H509" s="96"/>
      <c r="I509" s="96"/>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6"/>
      <c r="E510" s="96"/>
      <c r="F510" s="96"/>
      <c r="G510" s="96"/>
      <c r="H510" s="96"/>
      <c r="I510" s="96"/>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6"/>
      <c r="E511" s="96"/>
      <c r="F511" s="96"/>
      <c r="G511" s="96"/>
      <c r="H511" s="96"/>
      <c r="I511" s="96"/>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6"/>
      <c r="E512" s="96"/>
      <c r="F512" s="96"/>
      <c r="G512" s="96"/>
      <c r="H512" s="96"/>
      <c r="I512" s="96"/>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6"/>
      <c r="E513" s="96"/>
      <c r="F513" s="96"/>
      <c r="G513" s="96"/>
      <c r="H513" s="96"/>
      <c r="I513" s="96"/>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6"/>
      <c r="E514" s="96"/>
      <c r="F514" s="96"/>
      <c r="G514" s="96"/>
      <c r="H514" s="96"/>
      <c r="I514" s="96"/>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6"/>
      <c r="E515" s="96"/>
      <c r="F515" s="96"/>
      <c r="G515" s="96"/>
      <c r="H515" s="96"/>
      <c r="I515" s="96"/>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6"/>
      <c r="E516" s="96"/>
      <c r="F516" s="96"/>
      <c r="G516" s="96"/>
      <c r="H516" s="96"/>
      <c r="I516" s="96"/>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6"/>
      <c r="E517" s="96"/>
      <c r="F517" s="96"/>
      <c r="G517" s="96"/>
      <c r="H517" s="96"/>
      <c r="I517" s="96"/>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6"/>
      <c r="E518" s="96"/>
      <c r="F518" s="96"/>
      <c r="G518" s="96"/>
      <c r="H518" s="96"/>
      <c r="I518" s="96"/>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6"/>
      <c r="E519" s="96"/>
      <c r="F519" s="96"/>
      <c r="G519" s="96"/>
      <c r="H519" s="96"/>
      <c r="I519" s="96"/>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6"/>
      <c r="E520" s="96"/>
      <c r="F520" s="96"/>
      <c r="G520" s="96"/>
      <c r="H520" s="96"/>
      <c r="I520" s="96"/>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6"/>
      <c r="E521" s="96"/>
      <c r="F521" s="96"/>
      <c r="G521" s="96"/>
      <c r="H521" s="96"/>
      <c r="I521" s="96"/>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6"/>
      <c r="E522" s="96"/>
      <c r="F522" s="96"/>
      <c r="G522" s="96"/>
      <c r="H522" s="96"/>
      <c r="I522" s="96"/>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6"/>
      <c r="E523" s="96"/>
      <c r="F523" s="96"/>
      <c r="G523" s="96"/>
      <c r="H523" s="96"/>
      <c r="I523" s="96"/>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6"/>
      <c r="E524" s="96"/>
      <c r="F524" s="96"/>
      <c r="G524" s="96"/>
      <c r="H524" s="96"/>
      <c r="I524" s="96"/>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6"/>
      <c r="E525" s="96"/>
      <c r="F525" s="96"/>
      <c r="G525" s="96"/>
      <c r="H525" s="96"/>
      <c r="I525" s="96"/>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6"/>
      <c r="E526" s="96"/>
      <c r="F526" s="96"/>
      <c r="G526" s="96"/>
      <c r="H526" s="96"/>
      <c r="I526" s="96"/>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6"/>
      <c r="E527" s="96"/>
      <c r="F527" s="96"/>
      <c r="G527" s="96"/>
      <c r="H527" s="96"/>
      <c r="I527" s="96"/>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6"/>
      <c r="E528" s="96"/>
      <c r="F528" s="96"/>
      <c r="G528" s="96"/>
      <c r="H528" s="96"/>
      <c r="I528" s="96"/>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6"/>
      <c r="E529" s="96"/>
      <c r="F529" s="96"/>
      <c r="G529" s="96"/>
      <c r="H529" s="96"/>
      <c r="I529" s="96"/>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6"/>
      <c r="E530" s="96"/>
      <c r="F530" s="96"/>
      <c r="G530" s="96"/>
      <c r="H530" s="96"/>
      <c r="I530" s="96"/>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6"/>
      <c r="E531" s="96"/>
      <c r="F531" s="96"/>
      <c r="G531" s="96"/>
      <c r="H531" s="96"/>
      <c r="I531" s="96"/>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6"/>
      <c r="E532" s="96"/>
      <c r="F532" s="96"/>
      <c r="G532" s="96"/>
      <c r="H532" s="96"/>
      <c r="I532" s="96"/>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6"/>
      <c r="E533" s="96"/>
      <c r="F533" s="96"/>
      <c r="G533" s="96"/>
      <c r="H533" s="96"/>
      <c r="I533" s="96"/>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6"/>
      <c r="E534" s="96"/>
      <c r="F534" s="96"/>
      <c r="G534" s="96"/>
      <c r="H534" s="96"/>
      <c r="I534" s="96"/>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6"/>
      <c r="E535" s="96"/>
      <c r="F535" s="96"/>
      <c r="G535" s="96"/>
      <c r="H535" s="96"/>
      <c r="I535" s="96"/>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6"/>
      <c r="E536" s="96"/>
      <c r="F536" s="96"/>
      <c r="G536" s="96"/>
      <c r="H536" s="96"/>
      <c r="I536" s="96"/>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6"/>
      <c r="E537" s="96"/>
      <c r="F537" s="96"/>
      <c r="G537" s="96"/>
      <c r="H537" s="96"/>
      <c r="I537" s="96"/>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6"/>
      <c r="E538" s="96"/>
      <c r="F538" s="96"/>
      <c r="G538" s="96"/>
      <c r="H538" s="96"/>
      <c r="I538" s="96"/>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6"/>
      <c r="E539" s="96"/>
      <c r="F539" s="96"/>
      <c r="G539" s="96"/>
      <c r="H539" s="96"/>
      <c r="I539" s="96"/>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6"/>
      <c r="E540" s="96"/>
      <c r="F540" s="96"/>
      <c r="G540" s="96"/>
      <c r="H540" s="96"/>
      <c r="I540" s="96"/>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6"/>
      <c r="E541" s="96"/>
      <c r="F541" s="96"/>
      <c r="G541" s="96"/>
      <c r="H541" s="96"/>
      <c r="I541" s="96"/>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6"/>
      <c r="E542" s="96"/>
      <c r="F542" s="96"/>
      <c r="G542" s="96"/>
      <c r="H542" s="96"/>
      <c r="I542" s="96"/>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6"/>
      <c r="E543" s="96"/>
      <c r="F543" s="96"/>
      <c r="G543" s="96"/>
      <c r="H543" s="96"/>
      <c r="I543" s="96"/>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6"/>
      <c r="E544" s="96"/>
      <c r="F544" s="96"/>
      <c r="G544" s="96"/>
      <c r="H544" s="96"/>
      <c r="I544" s="96"/>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6"/>
      <c r="E545" s="96"/>
      <c r="F545" s="96"/>
      <c r="G545" s="96"/>
      <c r="H545" s="96"/>
      <c r="I545" s="96"/>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6"/>
      <c r="E546" s="96"/>
      <c r="F546" s="96"/>
      <c r="G546" s="96"/>
      <c r="H546" s="96"/>
      <c r="I546" s="96"/>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6"/>
      <c r="E547" s="96"/>
      <c r="F547" s="96"/>
      <c r="G547" s="96"/>
      <c r="H547" s="96"/>
      <c r="I547" s="96"/>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6"/>
      <c r="E548" s="96"/>
      <c r="F548" s="96"/>
      <c r="G548" s="96"/>
      <c r="H548" s="96"/>
      <c r="I548" s="96"/>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6"/>
      <c r="E549" s="96"/>
      <c r="F549" s="96"/>
      <c r="G549" s="96"/>
      <c r="H549" s="96"/>
      <c r="I549" s="96"/>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6"/>
      <c r="E550" s="96"/>
      <c r="F550" s="96"/>
      <c r="G550" s="96"/>
      <c r="H550" s="96"/>
      <c r="I550" s="96"/>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6"/>
      <c r="E551" s="96"/>
      <c r="F551" s="96"/>
      <c r="G551" s="96"/>
      <c r="H551" s="96"/>
      <c r="I551" s="96"/>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6"/>
      <c r="E552" s="96"/>
      <c r="F552" s="96"/>
      <c r="G552" s="96"/>
      <c r="H552" s="96"/>
      <c r="I552" s="96"/>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6"/>
      <c r="E553" s="96"/>
      <c r="F553" s="96"/>
      <c r="G553" s="96"/>
      <c r="H553" s="96"/>
      <c r="I553" s="96"/>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6"/>
      <c r="E554" s="96"/>
      <c r="F554" s="96"/>
      <c r="G554" s="96"/>
      <c r="H554" s="96"/>
      <c r="I554" s="96"/>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6"/>
      <c r="E555" s="96"/>
      <c r="F555" s="96"/>
      <c r="G555" s="96"/>
      <c r="H555" s="96"/>
      <c r="I555" s="96"/>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6"/>
      <c r="E556" s="96"/>
      <c r="F556" s="96"/>
      <c r="G556" s="96"/>
      <c r="H556" s="96"/>
      <c r="I556" s="96"/>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6"/>
      <c r="E557" s="96"/>
      <c r="F557" s="96"/>
      <c r="G557" s="96"/>
      <c r="H557" s="96"/>
      <c r="I557" s="96"/>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6"/>
      <c r="E558" s="96"/>
      <c r="F558" s="96"/>
      <c r="G558" s="96"/>
      <c r="H558" s="96"/>
      <c r="I558" s="96"/>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6"/>
      <c r="E559" s="96"/>
      <c r="F559" s="96"/>
      <c r="G559" s="96"/>
      <c r="H559" s="96"/>
      <c r="I559" s="96"/>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6"/>
      <c r="E560" s="96"/>
      <c r="F560" s="96"/>
      <c r="G560" s="96"/>
      <c r="H560" s="96"/>
      <c r="I560" s="96"/>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6"/>
      <c r="E561" s="96"/>
      <c r="F561" s="96"/>
      <c r="G561" s="96"/>
      <c r="H561" s="96"/>
      <c r="I561" s="96"/>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6"/>
      <c r="E562" s="96"/>
      <c r="F562" s="96"/>
      <c r="G562" s="96"/>
      <c r="H562" s="96"/>
      <c r="I562" s="96"/>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6"/>
      <c r="E563" s="96"/>
      <c r="F563" s="96"/>
      <c r="G563" s="96"/>
      <c r="H563" s="96"/>
      <c r="I563" s="96"/>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6"/>
      <c r="E564" s="96"/>
      <c r="F564" s="96"/>
      <c r="G564" s="96"/>
      <c r="H564" s="96"/>
      <c r="I564" s="96"/>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6"/>
      <c r="E565" s="96"/>
      <c r="F565" s="96"/>
      <c r="G565" s="96"/>
      <c r="H565" s="96"/>
      <c r="I565" s="96"/>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6"/>
      <c r="E566" s="96"/>
      <c r="F566" s="96"/>
      <c r="G566" s="96"/>
      <c r="H566" s="96"/>
      <c r="I566" s="96"/>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6"/>
      <c r="E567" s="96"/>
      <c r="F567" s="96"/>
      <c r="G567" s="96"/>
      <c r="H567" s="96"/>
      <c r="I567" s="96"/>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6"/>
      <c r="E568" s="96"/>
      <c r="F568" s="96"/>
      <c r="G568" s="96"/>
      <c r="H568" s="96"/>
      <c r="I568" s="96"/>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6"/>
      <c r="E569" s="96"/>
      <c r="F569" s="96"/>
      <c r="G569" s="96"/>
      <c r="H569" s="96"/>
      <c r="I569" s="96"/>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6"/>
      <c r="E570" s="96"/>
      <c r="F570" s="96"/>
      <c r="G570" s="96"/>
      <c r="H570" s="96"/>
      <c r="I570" s="96"/>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6"/>
      <c r="E571" s="96"/>
      <c r="F571" s="96"/>
      <c r="G571" s="96"/>
      <c r="H571" s="96"/>
      <c r="I571" s="96"/>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6"/>
      <c r="E572" s="96"/>
      <c r="F572" s="96"/>
      <c r="G572" s="96"/>
      <c r="H572" s="96"/>
      <c r="I572" s="96"/>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6"/>
      <c r="E573" s="96"/>
      <c r="F573" s="96"/>
      <c r="G573" s="96"/>
      <c r="H573" s="96"/>
      <c r="I573" s="96"/>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6"/>
      <c r="E574" s="96"/>
      <c r="F574" s="96"/>
      <c r="G574" s="96"/>
      <c r="H574" s="96"/>
      <c r="I574" s="96"/>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6"/>
      <c r="E575" s="96"/>
      <c r="F575" s="96"/>
      <c r="G575" s="96"/>
      <c r="H575" s="96"/>
      <c r="I575" s="96"/>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6"/>
      <c r="E576" s="96"/>
      <c r="F576" s="96"/>
      <c r="G576" s="96"/>
      <c r="H576" s="96"/>
      <c r="I576" s="96"/>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6"/>
      <c r="E577" s="96"/>
      <c r="F577" s="96"/>
      <c r="G577" s="96"/>
      <c r="H577" s="96"/>
      <c r="I577" s="96"/>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6"/>
      <c r="E578" s="96"/>
      <c r="F578" s="96"/>
      <c r="G578" s="96"/>
      <c r="H578" s="96"/>
      <c r="I578" s="96"/>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6"/>
      <c r="E579" s="96"/>
      <c r="F579" s="96"/>
      <c r="G579" s="96"/>
      <c r="H579" s="96"/>
      <c r="I579" s="96"/>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6"/>
      <c r="E580" s="96"/>
      <c r="F580" s="96"/>
      <c r="G580" s="96"/>
      <c r="H580" s="96"/>
      <c r="I580" s="96"/>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6"/>
      <c r="E581" s="96"/>
      <c r="F581" s="96"/>
      <c r="G581" s="96"/>
      <c r="H581" s="96"/>
      <c r="I581" s="96"/>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6"/>
      <c r="E582" s="96"/>
      <c r="F582" s="96"/>
      <c r="G582" s="96"/>
      <c r="H582" s="96"/>
      <c r="I582" s="96"/>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6"/>
      <c r="E583" s="96"/>
      <c r="F583" s="96"/>
      <c r="G583" s="96"/>
      <c r="H583" s="96"/>
      <c r="I583" s="96"/>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6"/>
      <c r="E584" s="96"/>
      <c r="F584" s="96"/>
      <c r="G584" s="96"/>
      <c r="H584" s="96"/>
      <c r="I584" s="96"/>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6"/>
      <c r="E585" s="96"/>
      <c r="F585" s="96"/>
      <c r="G585" s="96"/>
      <c r="H585" s="96"/>
      <c r="I585" s="96"/>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6"/>
      <c r="E586" s="96"/>
      <c r="F586" s="96"/>
      <c r="G586" s="96"/>
      <c r="H586" s="96"/>
      <c r="I586" s="96"/>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6"/>
      <c r="E587" s="96"/>
      <c r="F587" s="96"/>
      <c r="G587" s="96"/>
      <c r="H587" s="96"/>
      <c r="I587" s="96"/>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6"/>
      <c r="E588" s="96"/>
      <c r="F588" s="96"/>
      <c r="G588" s="96"/>
      <c r="H588" s="96"/>
      <c r="I588" s="96"/>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6"/>
      <c r="E589" s="96"/>
      <c r="F589" s="96"/>
      <c r="G589" s="96"/>
      <c r="H589" s="96"/>
      <c r="I589" s="96"/>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6"/>
      <c r="E590" s="96"/>
      <c r="F590" s="96"/>
      <c r="G590" s="96"/>
      <c r="H590" s="96"/>
      <c r="I590" s="96"/>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6"/>
      <c r="E591" s="96"/>
      <c r="F591" s="96"/>
      <c r="G591" s="96"/>
      <c r="H591" s="96"/>
      <c r="I591" s="96"/>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6"/>
      <c r="E592" s="96"/>
      <c r="F592" s="96"/>
      <c r="G592" s="96"/>
      <c r="H592" s="96"/>
      <c r="I592" s="96"/>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6"/>
      <c r="E593" s="96"/>
      <c r="F593" s="96"/>
      <c r="G593" s="96"/>
      <c r="H593" s="96"/>
      <c r="I593" s="96"/>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6"/>
      <c r="E594" s="96"/>
      <c r="F594" s="96"/>
      <c r="G594" s="96"/>
      <c r="H594" s="96"/>
      <c r="I594" s="96"/>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6"/>
      <c r="E595" s="96"/>
      <c r="F595" s="96"/>
      <c r="G595" s="96"/>
      <c r="H595" s="96"/>
      <c r="I595" s="96"/>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6"/>
      <c r="E596" s="96"/>
      <c r="F596" s="96"/>
      <c r="G596" s="96"/>
      <c r="H596" s="96"/>
      <c r="I596" s="96"/>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6"/>
      <c r="E597" s="96"/>
      <c r="F597" s="96"/>
      <c r="G597" s="96"/>
      <c r="H597" s="96"/>
      <c r="I597" s="96"/>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6"/>
      <c r="E598" s="96"/>
      <c r="F598" s="96"/>
      <c r="G598" s="96"/>
      <c r="H598" s="96"/>
      <c r="I598" s="96"/>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6"/>
      <c r="E599" s="96"/>
      <c r="F599" s="96"/>
      <c r="G599" s="96"/>
      <c r="H599" s="96"/>
      <c r="I599" s="96"/>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6"/>
      <c r="E600" s="96"/>
      <c r="F600" s="96"/>
      <c r="G600" s="96"/>
      <c r="H600" s="96"/>
      <c r="I600" s="96"/>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6"/>
      <c r="E601" s="96"/>
      <c r="F601" s="96"/>
      <c r="G601" s="96"/>
      <c r="H601" s="96"/>
      <c r="I601" s="96"/>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6"/>
      <c r="E602" s="96"/>
      <c r="F602" s="96"/>
      <c r="G602" s="96"/>
      <c r="H602" s="96"/>
      <c r="I602" s="96"/>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6"/>
      <c r="E603" s="96"/>
      <c r="F603" s="96"/>
      <c r="G603" s="96"/>
      <c r="H603" s="96"/>
      <c r="I603" s="96"/>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6"/>
      <c r="E604" s="96"/>
      <c r="F604" s="96"/>
      <c r="G604" s="96"/>
      <c r="H604" s="96"/>
      <c r="I604" s="96"/>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6"/>
      <c r="E605" s="96"/>
      <c r="F605" s="96"/>
      <c r="G605" s="96"/>
      <c r="H605" s="96"/>
      <c r="I605" s="96"/>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6"/>
      <c r="E606" s="96"/>
      <c r="F606" s="96"/>
      <c r="G606" s="96"/>
      <c r="H606" s="96"/>
      <c r="I606" s="96"/>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6"/>
      <c r="E607" s="96"/>
      <c r="F607" s="96"/>
      <c r="G607" s="96"/>
      <c r="H607" s="96"/>
      <c r="I607" s="96"/>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6"/>
      <c r="E608" s="96"/>
      <c r="F608" s="96"/>
      <c r="G608" s="96"/>
      <c r="H608" s="96"/>
      <c r="I608" s="96"/>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6"/>
      <c r="E609" s="96"/>
      <c r="F609" s="96"/>
      <c r="G609" s="96"/>
      <c r="H609" s="96"/>
      <c r="I609" s="96"/>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6"/>
      <c r="E610" s="96"/>
      <c r="F610" s="96"/>
      <c r="G610" s="96"/>
      <c r="H610" s="96"/>
      <c r="I610" s="96"/>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6"/>
      <c r="E611" s="96"/>
      <c r="F611" s="96"/>
      <c r="G611" s="96"/>
      <c r="H611" s="96"/>
      <c r="I611" s="96"/>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6"/>
      <c r="E612" s="96"/>
      <c r="F612" s="96"/>
      <c r="G612" s="96"/>
      <c r="H612" s="96"/>
      <c r="I612" s="96"/>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6"/>
      <c r="E613" s="96"/>
      <c r="F613" s="96"/>
      <c r="G613" s="96"/>
      <c r="H613" s="96"/>
      <c r="I613" s="96"/>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6"/>
      <c r="E614" s="96"/>
      <c r="F614" s="96"/>
      <c r="G614" s="96"/>
      <c r="H614" s="96"/>
      <c r="I614" s="96"/>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6"/>
      <c r="E615" s="96"/>
      <c r="F615" s="96"/>
      <c r="G615" s="96"/>
      <c r="H615" s="96"/>
      <c r="I615" s="96"/>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6"/>
      <c r="E616" s="96"/>
      <c r="F616" s="96"/>
      <c r="G616" s="96"/>
      <c r="H616" s="96"/>
      <c r="I616" s="96"/>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6"/>
      <c r="E617" s="96"/>
      <c r="F617" s="96"/>
      <c r="G617" s="96"/>
      <c r="H617" s="96"/>
      <c r="I617" s="96"/>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6"/>
      <c r="E618" s="96"/>
      <c r="F618" s="96"/>
      <c r="G618" s="96"/>
      <c r="H618" s="96"/>
      <c r="I618" s="96"/>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6"/>
      <c r="E619" s="96"/>
      <c r="F619" s="96"/>
      <c r="G619" s="96"/>
      <c r="H619" s="96"/>
      <c r="I619" s="96"/>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6"/>
      <c r="E620" s="96"/>
      <c r="F620" s="96"/>
      <c r="G620" s="96"/>
      <c r="H620" s="96"/>
      <c r="I620" s="96"/>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6"/>
      <c r="E621" s="96"/>
      <c r="F621" s="96"/>
      <c r="G621" s="96"/>
      <c r="H621" s="96"/>
      <c r="I621" s="96"/>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6"/>
      <c r="E622" s="96"/>
      <c r="F622" s="96"/>
      <c r="G622" s="96"/>
      <c r="H622" s="96"/>
      <c r="I622" s="96"/>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6"/>
      <c r="E623" s="96"/>
      <c r="F623" s="96"/>
      <c r="G623" s="96"/>
      <c r="H623" s="96"/>
      <c r="I623" s="96"/>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6"/>
      <c r="E624" s="96"/>
      <c r="F624" s="96"/>
      <c r="G624" s="96"/>
      <c r="H624" s="96"/>
      <c r="I624" s="96"/>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6"/>
      <c r="E625" s="96"/>
      <c r="F625" s="96"/>
      <c r="G625" s="96"/>
      <c r="H625" s="96"/>
      <c r="I625" s="96"/>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6"/>
      <c r="E626" s="96"/>
      <c r="F626" s="96"/>
      <c r="G626" s="96"/>
      <c r="H626" s="96"/>
      <c r="I626" s="96"/>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6"/>
      <c r="E627" s="96"/>
      <c r="F627" s="96"/>
      <c r="G627" s="96"/>
      <c r="H627" s="96"/>
      <c r="I627" s="96"/>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6"/>
      <c r="E628" s="96"/>
      <c r="F628" s="96"/>
      <c r="G628" s="96"/>
      <c r="H628" s="96"/>
      <c r="I628" s="96"/>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6"/>
      <c r="E629" s="96"/>
      <c r="F629" s="96"/>
      <c r="G629" s="96"/>
      <c r="H629" s="96"/>
      <c r="I629" s="96"/>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6"/>
      <c r="E630" s="96"/>
      <c r="F630" s="96"/>
      <c r="G630" s="96"/>
      <c r="H630" s="96"/>
      <c r="I630" s="96"/>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6"/>
      <c r="E631" s="96"/>
      <c r="F631" s="96"/>
      <c r="G631" s="96"/>
      <c r="H631" s="96"/>
      <c r="I631" s="96"/>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6"/>
      <c r="E632" s="96"/>
      <c r="F632" s="96"/>
      <c r="G632" s="96"/>
      <c r="H632" s="96"/>
      <c r="I632" s="96"/>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6"/>
      <c r="E633" s="96"/>
      <c r="F633" s="96"/>
      <c r="G633" s="96"/>
      <c r="H633" s="96"/>
      <c r="I633" s="96"/>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6"/>
      <c r="E634" s="96"/>
      <c r="F634" s="96"/>
      <c r="G634" s="96"/>
      <c r="H634" s="96"/>
      <c r="I634" s="96"/>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6"/>
      <c r="E635" s="96"/>
      <c r="F635" s="96"/>
      <c r="G635" s="96"/>
      <c r="H635" s="96"/>
      <c r="I635" s="96"/>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6"/>
      <c r="E636" s="96"/>
      <c r="F636" s="96"/>
      <c r="G636" s="96"/>
      <c r="H636" s="96"/>
      <c r="I636" s="96"/>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6"/>
      <c r="E637" s="96"/>
      <c r="F637" s="96"/>
      <c r="G637" s="96"/>
      <c r="H637" s="96"/>
      <c r="I637" s="96"/>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6"/>
      <c r="E638" s="96"/>
      <c r="F638" s="96"/>
      <c r="G638" s="96"/>
      <c r="H638" s="96"/>
      <c r="I638" s="96"/>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6"/>
      <c r="E639" s="96"/>
      <c r="F639" s="96"/>
      <c r="G639" s="96"/>
      <c r="H639" s="96"/>
      <c r="I639" s="96"/>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6"/>
      <c r="E640" s="96"/>
      <c r="F640" s="96"/>
      <c r="G640" s="96"/>
      <c r="H640" s="96"/>
      <c r="I640" s="96"/>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6"/>
      <c r="E641" s="96"/>
      <c r="F641" s="96"/>
      <c r="G641" s="96"/>
      <c r="H641" s="96"/>
      <c r="I641" s="96"/>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6"/>
      <c r="E642" s="96"/>
      <c r="F642" s="96"/>
      <c r="G642" s="96"/>
      <c r="H642" s="96"/>
      <c r="I642" s="96"/>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6"/>
      <c r="E643" s="96"/>
      <c r="F643" s="96"/>
      <c r="G643" s="96"/>
      <c r="H643" s="96"/>
      <c r="I643" s="96"/>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6"/>
      <c r="E644" s="96"/>
      <c r="F644" s="96"/>
      <c r="G644" s="96"/>
      <c r="H644" s="96"/>
      <c r="I644" s="96"/>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6"/>
      <c r="E645" s="96"/>
      <c r="F645" s="96"/>
      <c r="G645" s="96"/>
      <c r="H645" s="96"/>
      <c r="I645" s="96"/>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6"/>
      <c r="E646" s="96"/>
      <c r="F646" s="96"/>
      <c r="G646" s="96"/>
      <c r="H646" s="96"/>
      <c r="I646" s="96"/>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6"/>
      <c r="E647" s="96"/>
      <c r="F647" s="96"/>
      <c r="G647" s="96"/>
      <c r="H647" s="96"/>
      <c r="I647" s="96"/>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6"/>
      <c r="E648" s="96"/>
      <c r="F648" s="96"/>
      <c r="G648" s="96"/>
      <c r="H648" s="96"/>
      <c r="I648" s="96"/>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6"/>
      <c r="E649" s="96"/>
      <c r="F649" s="96"/>
      <c r="G649" s="96"/>
      <c r="H649" s="96"/>
      <c r="I649" s="96"/>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6"/>
      <c r="E650" s="96"/>
      <c r="F650" s="96"/>
      <c r="G650" s="96"/>
      <c r="H650" s="96"/>
      <c r="I650" s="96"/>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6"/>
      <c r="E651" s="96"/>
      <c r="F651" s="96"/>
      <c r="G651" s="96"/>
      <c r="H651" s="96"/>
      <c r="I651" s="96"/>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6"/>
      <c r="E652" s="96"/>
      <c r="F652" s="96"/>
      <c r="G652" s="96"/>
      <c r="H652" s="96"/>
      <c r="I652" s="96"/>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6"/>
      <c r="E653" s="96"/>
      <c r="F653" s="96"/>
      <c r="G653" s="96"/>
      <c r="H653" s="96"/>
      <c r="I653" s="96"/>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6"/>
      <c r="E654" s="96"/>
      <c r="F654" s="96"/>
      <c r="G654" s="96"/>
      <c r="H654" s="96"/>
      <c r="I654" s="96"/>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6"/>
      <c r="E655" s="96"/>
      <c r="F655" s="96"/>
      <c r="G655" s="96"/>
      <c r="H655" s="96"/>
      <c r="I655" s="96"/>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6"/>
      <c r="E656" s="96"/>
      <c r="F656" s="96"/>
      <c r="G656" s="96"/>
      <c r="H656" s="96"/>
      <c r="I656" s="96"/>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6"/>
      <c r="E657" s="96"/>
      <c r="F657" s="96"/>
      <c r="G657" s="96"/>
      <c r="H657" s="96"/>
      <c r="I657" s="96"/>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6"/>
      <c r="E658" s="96"/>
      <c r="F658" s="96"/>
      <c r="G658" s="96"/>
      <c r="H658" s="96"/>
      <c r="I658" s="96"/>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6"/>
      <c r="E659" s="96"/>
      <c r="F659" s="96"/>
      <c r="G659" s="96"/>
      <c r="H659" s="96"/>
      <c r="I659" s="96"/>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6"/>
      <c r="E660" s="96"/>
      <c r="F660" s="96"/>
      <c r="G660" s="96"/>
      <c r="H660" s="96"/>
      <c r="I660" s="96"/>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6"/>
      <c r="E661" s="96"/>
      <c r="F661" s="96"/>
      <c r="G661" s="96"/>
      <c r="H661" s="96"/>
      <c r="I661" s="96"/>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6"/>
      <c r="E662" s="96"/>
      <c r="F662" s="96"/>
      <c r="G662" s="96"/>
      <c r="H662" s="96"/>
      <c r="I662" s="96"/>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6"/>
      <c r="E663" s="96"/>
      <c r="F663" s="96"/>
      <c r="G663" s="96"/>
      <c r="H663" s="96"/>
      <c r="I663" s="96"/>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6"/>
      <c r="E664" s="96"/>
      <c r="F664" s="96"/>
      <c r="G664" s="96"/>
      <c r="H664" s="96"/>
      <c r="I664" s="96"/>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6"/>
      <c r="E665" s="96"/>
      <c r="F665" s="96"/>
      <c r="G665" s="96"/>
      <c r="H665" s="96"/>
      <c r="I665" s="96"/>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6"/>
      <c r="E666" s="96"/>
      <c r="F666" s="96"/>
      <c r="G666" s="96"/>
      <c r="H666" s="96"/>
      <c r="I666" s="96"/>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6"/>
      <c r="E667" s="96"/>
      <c r="F667" s="96"/>
      <c r="G667" s="96"/>
      <c r="H667" s="96"/>
      <c r="I667" s="96"/>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6"/>
      <c r="E668" s="96"/>
      <c r="F668" s="96"/>
      <c r="G668" s="96"/>
      <c r="H668" s="96"/>
      <c r="I668" s="96"/>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6"/>
      <c r="E669" s="96"/>
      <c r="F669" s="96"/>
      <c r="G669" s="96"/>
      <c r="H669" s="96"/>
      <c r="I669" s="96"/>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6"/>
      <c r="E670" s="96"/>
      <c r="F670" s="96"/>
      <c r="G670" s="96"/>
      <c r="H670" s="96"/>
      <c r="I670" s="96"/>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6"/>
      <c r="E671" s="96"/>
      <c r="F671" s="96"/>
      <c r="G671" s="96"/>
      <c r="H671" s="96"/>
      <c r="I671" s="96"/>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6"/>
      <c r="E672" s="96"/>
      <c r="F672" s="96"/>
      <c r="G672" s="96"/>
      <c r="H672" s="96"/>
      <c r="I672" s="96"/>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6"/>
      <c r="E673" s="96"/>
      <c r="F673" s="96"/>
      <c r="G673" s="96"/>
      <c r="H673" s="96"/>
      <c r="I673" s="96"/>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6"/>
      <c r="E674" s="96"/>
      <c r="F674" s="96"/>
      <c r="G674" s="96"/>
      <c r="H674" s="96"/>
      <c r="I674" s="96"/>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6"/>
      <c r="E675" s="96"/>
      <c r="F675" s="96"/>
      <c r="G675" s="96"/>
      <c r="H675" s="96"/>
      <c r="I675" s="96"/>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6"/>
      <c r="E676" s="96"/>
      <c r="F676" s="96"/>
      <c r="G676" s="96"/>
      <c r="H676" s="96"/>
      <c r="I676" s="96"/>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6"/>
      <c r="E677" s="96"/>
      <c r="F677" s="96"/>
      <c r="G677" s="96"/>
      <c r="H677" s="96"/>
      <c r="I677" s="96"/>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6"/>
      <c r="E678" s="96"/>
      <c r="F678" s="96"/>
      <c r="G678" s="96"/>
      <c r="H678" s="96"/>
      <c r="I678" s="96"/>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6"/>
      <c r="E679" s="96"/>
      <c r="F679" s="96"/>
      <c r="G679" s="96"/>
      <c r="H679" s="96"/>
      <c r="I679" s="96"/>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6"/>
      <c r="E680" s="96"/>
      <c r="F680" s="96"/>
      <c r="G680" s="96"/>
      <c r="H680" s="96"/>
      <c r="I680" s="96"/>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6"/>
      <c r="E681" s="96"/>
      <c r="F681" s="96"/>
      <c r="G681" s="96"/>
      <c r="H681" s="96"/>
      <c r="I681" s="96"/>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6"/>
      <c r="E682" s="96"/>
      <c r="F682" s="96"/>
      <c r="G682" s="96"/>
      <c r="H682" s="96"/>
      <c r="I682" s="96"/>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6"/>
      <c r="E683" s="96"/>
      <c r="F683" s="96"/>
      <c r="G683" s="96"/>
      <c r="H683" s="96"/>
      <c r="I683" s="96"/>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6"/>
      <c r="E684" s="96"/>
      <c r="F684" s="96"/>
      <c r="G684" s="96"/>
      <c r="H684" s="96"/>
      <c r="I684" s="96"/>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6"/>
      <c r="E685" s="96"/>
      <c r="F685" s="96"/>
      <c r="G685" s="96"/>
      <c r="H685" s="96"/>
      <c r="I685" s="96"/>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6"/>
      <c r="E686" s="96"/>
      <c r="F686" s="96"/>
      <c r="G686" s="96"/>
      <c r="H686" s="96"/>
      <c r="I686" s="96"/>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6"/>
      <c r="E687" s="96"/>
      <c r="F687" s="96"/>
      <c r="G687" s="96"/>
      <c r="H687" s="96"/>
      <c r="I687" s="96"/>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6"/>
      <c r="E688" s="96"/>
      <c r="F688" s="96"/>
      <c r="G688" s="96"/>
      <c r="H688" s="96"/>
      <c r="I688" s="96"/>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6"/>
      <c r="E689" s="96"/>
      <c r="F689" s="96"/>
      <c r="G689" s="96"/>
      <c r="H689" s="96"/>
      <c r="I689" s="96"/>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6"/>
      <c r="E690" s="96"/>
      <c r="F690" s="96"/>
      <c r="G690" s="96"/>
      <c r="H690" s="96"/>
      <c r="I690" s="96"/>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6"/>
      <c r="E691" s="96"/>
      <c r="F691" s="96"/>
      <c r="G691" s="96"/>
      <c r="H691" s="96"/>
      <c r="I691" s="96"/>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6"/>
      <c r="E692" s="96"/>
      <c r="F692" s="96"/>
      <c r="G692" s="96"/>
      <c r="H692" s="96"/>
      <c r="I692" s="96"/>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6"/>
      <c r="E693" s="96"/>
      <c r="F693" s="96"/>
      <c r="G693" s="96"/>
      <c r="H693" s="96"/>
      <c r="I693" s="96"/>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6"/>
      <c r="E694" s="96"/>
      <c r="F694" s="96"/>
      <c r="G694" s="96"/>
      <c r="H694" s="96"/>
      <c r="I694" s="96"/>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6"/>
      <c r="E695" s="96"/>
      <c r="F695" s="96"/>
      <c r="G695" s="96"/>
      <c r="H695" s="96"/>
      <c r="I695" s="96"/>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6"/>
      <c r="E696" s="96"/>
      <c r="F696" s="96"/>
      <c r="G696" s="96"/>
      <c r="H696" s="96"/>
      <c r="I696" s="96"/>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6"/>
      <c r="E697" s="96"/>
      <c r="F697" s="96"/>
      <c r="G697" s="96"/>
      <c r="H697" s="96"/>
      <c r="I697" s="96"/>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6"/>
      <c r="E698" s="96"/>
      <c r="F698" s="96"/>
      <c r="G698" s="96"/>
      <c r="H698" s="96"/>
      <c r="I698" s="96"/>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6"/>
      <c r="E699" s="96"/>
      <c r="F699" s="96"/>
      <c r="G699" s="96"/>
      <c r="H699" s="96"/>
      <c r="I699" s="96"/>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6"/>
      <c r="E700" s="96"/>
      <c r="F700" s="96"/>
      <c r="G700" s="96"/>
      <c r="H700" s="96"/>
      <c r="I700" s="96"/>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6"/>
      <c r="E701" s="96"/>
      <c r="F701" s="96"/>
      <c r="G701" s="96"/>
      <c r="H701" s="96"/>
      <c r="I701" s="96"/>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6"/>
      <c r="E702" s="96"/>
      <c r="F702" s="96"/>
      <c r="G702" s="96"/>
      <c r="H702" s="96"/>
      <c r="I702" s="96"/>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6"/>
      <c r="E703" s="96"/>
      <c r="F703" s="96"/>
      <c r="G703" s="96"/>
      <c r="H703" s="96"/>
      <c r="I703" s="96"/>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6"/>
      <c r="E704" s="96"/>
      <c r="F704" s="96"/>
      <c r="G704" s="96"/>
      <c r="H704" s="96"/>
      <c r="I704" s="96"/>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6"/>
      <c r="E705" s="96"/>
      <c r="F705" s="96"/>
      <c r="G705" s="96"/>
      <c r="H705" s="96"/>
      <c r="I705" s="96"/>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6"/>
      <c r="E706" s="96"/>
      <c r="F706" s="96"/>
      <c r="G706" s="96"/>
      <c r="H706" s="96"/>
      <c r="I706" s="96"/>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6"/>
      <c r="E707" s="96"/>
      <c r="F707" s="96"/>
      <c r="G707" s="96"/>
      <c r="H707" s="96"/>
      <c r="I707" s="96"/>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6"/>
      <c r="E708" s="96"/>
      <c r="F708" s="96"/>
      <c r="G708" s="96"/>
      <c r="H708" s="96"/>
      <c r="I708" s="96"/>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6"/>
      <c r="E709" s="96"/>
      <c r="F709" s="96"/>
      <c r="G709" s="96"/>
      <c r="H709" s="96"/>
      <c r="I709" s="96"/>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6"/>
      <c r="E710" s="96"/>
      <c r="F710" s="96"/>
      <c r="G710" s="96"/>
      <c r="H710" s="96"/>
      <c r="I710" s="96"/>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6"/>
      <c r="E711" s="96"/>
      <c r="F711" s="96"/>
      <c r="G711" s="96"/>
      <c r="H711" s="96"/>
      <c r="I711" s="96"/>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6"/>
      <c r="E712" s="96"/>
      <c r="F712" s="96"/>
      <c r="G712" s="96"/>
      <c r="H712" s="96"/>
      <c r="I712" s="96"/>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6"/>
      <c r="E713" s="96"/>
      <c r="F713" s="96"/>
      <c r="G713" s="96"/>
      <c r="H713" s="96"/>
      <c r="I713" s="96"/>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6"/>
      <c r="E714" s="96"/>
      <c r="F714" s="96"/>
      <c r="G714" s="96"/>
      <c r="H714" s="96"/>
      <c r="I714" s="96"/>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6"/>
      <c r="E715" s="96"/>
      <c r="F715" s="96"/>
      <c r="G715" s="96"/>
      <c r="H715" s="96"/>
      <c r="I715" s="96"/>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6"/>
      <c r="E716" s="96"/>
      <c r="F716" s="96"/>
      <c r="G716" s="96"/>
      <c r="H716" s="96"/>
      <c r="I716" s="96"/>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6"/>
      <c r="E717" s="96"/>
      <c r="F717" s="96"/>
      <c r="G717" s="96"/>
      <c r="H717" s="96"/>
      <c r="I717" s="96"/>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6"/>
      <c r="E718" s="96"/>
      <c r="F718" s="96"/>
      <c r="G718" s="96"/>
      <c r="H718" s="96"/>
      <c r="I718" s="96"/>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6"/>
      <c r="E719" s="96"/>
      <c r="F719" s="96"/>
      <c r="G719" s="96"/>
      <c r="H719" s="96"/>
      <c r="I719" s="96"/>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6"/>
      <c r="E720" s="96"/>
      <c r="F720" s="96"/>
      <c r="G720" s="96"/>
      <c r="H720" s="96"/>
      <c r="I720" s="96"/>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6"/>
      <c r="E721" s="96"/>
      <c r="F721" s="96"/>
      <c r="G721" s="96"/>
      <c r="H721" s="96"/>
      <c r="I721" s="96"/>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6"/>
      <c r="E722" s="96"/>
      <c r="F722" s="96"/>
      <c r="G722" s="96"/>
      <c r="H722" s="96"/>
      <c r="I722" s="96"/>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6"/>
      <c r="E723" s="96"/>
      <c r="F723" s="96"/>
      <c r="G723" s="96"/>
      <c r="H723" s="96"/>
      <c r="I723" s="96"/>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6"/>
      <c r="E724" s="96"/>
      <c r="F724" s="96"/>
      <c r="G724" s="96"/>
      <c r="H724" s="96"/>
      <c r="I724" s="96"/>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6"/>
      <c r="E725" s="96"/>
      <c r="F725" s="96"/>
      <c r="G725" s="96"/>
      <c r="H725" s="96"/>
      <c r="I725" s="96"/>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6"/>
      <c r="E726" s="96"/>
      <c r="F726" s="96"/>
      <c r="G726" s="96"/>
      <c r="H726" s="96"/>
      <c r="I726" s="96"/>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6"/>
      <c r="E727" s="96"/>
      <c r="F727" s="96"/>
      <c r="G727" s="96"/>
      <c r="H727" s="96"/>
      <c r="I727" s="96"/>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6"/>
      <c r="E728" s="96"/>
      <c r="F728" s="96"/>
      <c r="G728" s="96"/>
      <c r="H728" s="96"/>
      <c r="I728" s="96"/>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6"/>
      <c r="E729" s="96"/>
      <c r="F729" s="96"/>
      <c r="G729" s="96"/>
      <c r="H729" s="96"/>
      <c r="I729" s="96"/>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6"/>
      <c r="E730" s="96"/>
      <c r="F730" s="96"/>
      <c r="G730" s="96"/>
      <c r="H730" s="96"/>
      <c r="I730" s="96"/>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6"/>
      <c r="E731" s="96"/>
      <c r="F731" s="96"/>
      <c r="G731" s="96"/>
      <c r="H731" s="96"/>
      <c r="I731" s="96"/>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6"/>
      <c r="E732" s="96"/>
      <c r="F732" s="96"/>
      <c r="G732" s="96"/>
      <c r="H732" s="96"/>
      <c r="I732" s="96"/>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6"/>
      <c r="E733" s="96"/>
      <c r="F733" s="96"/>
      <c r="G733" s="96"/>
      <c r="H733" s="96"/>
      <c r="I733" s="96"/>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6"/>
      <c r="E734" s="96"/>
      <c r="F734" s="96"/>
      <c r="G734" s="96"/>
      <c r="H734" s="96"/>
      <c r="I734" s="96"/>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6"/>
      <c r="E735" s="96"/>
      <c r="F735" s="96"/>
      <c r="G735" s="96"/>
      <c r="H735" s="96"/>
      <c r="I735" s="96"/>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6"/>
      <c r="E736" s="96"/>
      <c r="F736" s="96"/>
      <c r="G736" s="96"/>
      <c r="H736" s="96"/>
      <c r="I736" s="96"/>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6"/>
      <c r="E737" s="96"/>
      <c r="F737" s="96"/>
      <c r="G737" s="96"/>
      <c r="H737" s="96"/>
      <c r="I737" s="96"/>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6"/>
      <c r="E738" s="96"/>
      <c r="F738" s="96"/>
      <c r="G738" s="96"/>
      <c r="H738" s="96"/>
      <c r="I738" s="96"/>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6"/>
      <c r="E739" s="96"/>
      <c r="F739" s="96"/>
      <c r="G739" s="96"/>
      <c r="H739" s="96"/>
      <c r="I739" s="96"/>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6"/>
      <c r="E740" s="96"/>
      <c r="F740" s="96"/>
      <c r="G740" s="96"/>
      <c r="H740" s="96"/>
      <c r="I740" s="96"/>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6"/>
      <c r="E741" s="96"/>
      <c r="F741" s="96"/>
      <c r="G741" s="96"/>
      <c r="H741" s="96"/>
      <c r="I741" s="96"/>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6"/>
      <c r="E742" s="96"/>
      <c r="F742" s="96"/>
      <c r="G742" s="96"/>
      <c r="H742" s="96"/>
      <c r="I742" s="96"/>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6"/>
      <c r="E743" s="96"/>
      <c r="F743" s="96"/>
      <c r="G743" s="96"/>
      <c r="H743" s="96"/>
      <c r="I743" s="96"/>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6"/>
      <c r="E744" s="96"/>
      <c r="F744" s="96"/>
      <c r="G744" s="96"/>
      <c r="H744" s="96"/>
      <c r="I744" s="96"/>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6"/>
      <c r="E745" s="96"/>
      <c r="F745" s="96"/>
      <c r="G745" s="96"/>
      <c r="H745" s="96"/>
      <c r="I745" s="96"/>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6"/>
      <c r="E746" s="96"/>
      <c r="F746" s="96"/>
      <c r="G746" s="96"/>
      <c r="H746" s="96"/>
      <c r="I746" s="96"/>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6"/>
      <c r="E747" s="96"/>
      <c r="F747" s="96"/>
      <c r="G747" s="96"/>
      <c r="H747" s="96"/>
      <c r="I747" s="96"/>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6"/>
      <c r="E748" s="96"/>
      <c r="F748" s="96"/>
      <c r="G748" s="96"/>
      <c r="H748" s="96"/>
      <c r="I748" s="96"/>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6"/>
      <c r="E749" s="96"/>
      <c r="F749" s="96"/>
      <c r="G749" s="96"/>
      <c r="H749" s="96"/>
      <c r="I749" s="96"/>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6"/>
      <c r="E750" s="96"/>
      <c r="F750" s="96"/>
      <c r="G750" s="96"/>
      <c r="H750" s="96"/>
      <c r="I750" s="96"/>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6"/>
      <c r="E751" s="96"/>
      <c r="F751" s="96"/>
      <c r="G751" s="96"/>
      <c r="H751" s="96"/>
      <c r="I751" s="96"/>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6"/>
      <c r="E752" s="96"/>
      <c r="F752" s="96"/>
      <c r="G752" s="96"/>
      <c r="H752" s="96"/>
      <c r="I752" s="96"/>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6"/>
      <c r="E753" s="96"/>
      <c r="F753" s="96"/>
      <c r="G753" s="96"/>
      <c r="H753" s="96"/>
      <c r="I753" s="96"/>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6"/>
      <c r="E754" s="96"/>
      <c r="F754" s="96"/>
      <c r="G754" s="96"/>
      <c r="H754" s="96"/>
      <c r="I754" s="96"/>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6"/>
      <c r="E755" s="96"/>
      <c r="F755" s="96"/>
      <c r="G755" s="96"/>
      <c r="H755" s="96"/>
      <c r="I755" s="96"/>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6"/>
      <c r="E756" s="96"/>
      <c r="F756" s="96"/>
      <c r="G756" s="96"/>
      <c r="H756" s="96"/>
      <c r="I756" s="96"/>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6"/>
      <c r="E757" s="96"/>
      <c r="F757" s="96"/>
      <c r="G757" s="96"/>
      <c r="H757" s="96"/>
      <c r="I757" s="96"/>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6"/>
      <c r="E758" s="96"/>
      <c r="F758" s="96"/>
      <c r="G758" s="96"/>
      <c r="H758" s="96"/>
      <c r="I758" s="96"/>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6"/>
      <c r="E759" s="96"/>
      <c r="F759" s="96"/>
      <c r="G759" s="96"/>
      <c r="H759" s="96"/>
      <c r="I759" s="96"/>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6"/>
      <c r="E760" s="96"/>
      <c r="F760" s="96"/>
      <c r="G760" s="96"/>
      <c r="H760" s="96"/>
      <c r="I760" s="96"/>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6"/>
      <c r="E761" s="96"/>
      <c r="F761" s="96"/>
      <c r="G761" s="96"/>
      <c r="H761" s="96"/>
      <c r="I761" s="96"/>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6"/>
      <c r="E762" s="96"/>
      <c r="F762" s="96"/>
      <c r="G762" s="96"/>
      <c r="H762" s="96"/>
      <c r="I762" s="96"/>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6"/>
      <c r="E763" s="96"/>
      <c r="F763" s="96"/>
      <c r="G763" s="96"/>
      <c r="H763" s="96"/>
      <c r="I763" s="96"/>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6"/>
      <c r="E764" s="96"/>
      <c r="F764" s="96"/>
      <c r="G764" s="96"/>
      <c r="H764" s="96"/>
      <c r="I764" s="96"/>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6"/>
      <c r="E765" s="96"/>
      <c r="F765" s="96"/>
      <c r="G765" s="96"/>
      <c r="H765" s="96"/>
      <c r="I765" s="96"/>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6"/>
      <c r="E766" s="96"/>
      <c r="F766" s="96"/>
      <c r="G766" s="96"/>
      <c r="H766" s="96"/>
      <c r="I766" s="96"/>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6"/>
      <c r="E767" s="96"/>
      <c r="F767" s="96"/>
      <c r="G767" s="96"/>
      <c r="H767" s="96"/>
      <c r="I767" s="96"/>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6"/>
      <c r="E768" s="96"/>
      <c r="F768" s="96"/>
      <c r="G768" s="96"/>
      <c r="H768" s="96"/>
      <c r="I768" s="96"/>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6"/>
      <c r="E769" s="96"/>
      <c r="F769" s="96"/>
      <c r="G769" s="96"/>
      <c r="H769" s="96"/>
      <c r="I769" s="96"/>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6"/>
      <c r="E770" s="96"/>
      <c r="F770" s="96"/>
      <c r="G770" s="96"/>
      <c r="H770" s="96"/>
      <c r="I770" s="96"/>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6"/>
      <c r="E771" s="96"/>
      <c r="F771" s="96"/>
      <c r="G771" s="96"/>
      <c r="H771" s="96"/>
      <c r="I771" s="96"/>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6"/>
      <c r="E772" s="96"/>
      <c r="F772" s="96"/>
      <c r="G772" s="96"/>
      <c r="H772" s="96"/>
      <c r="I772" s="96"/>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6"/>
      <c r="E773" s="96"/>
      <c r="F773" s="96"/>
      <c r="G773" s="96"/>
      <c r="H773" s="96"/>
      <c r="I773" s="96"/>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6"/>
      <c r="E774" s="96"/>
      <c r="F774" s="96"/>
      <c r="G774" s="96"/>
      <c r="H774" s="96"/>
      <c r="I774" s="96"/>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6"/>
      <c r="E775" s="96"/>
      <c r="F775" s="96"/>
      <c r="G775" s="96"/>
      <c r="H775" s="96"/>
      <c r="I775" s="96"/>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6"/>
      <c r="E776" s="96"/>
      <c r="F776" s="96"/>
      <c r="G776" s="96"/>
      <c r="H776" s="96"/>
      <c r="I776" s="96"/>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6"/>
      <c r="E777" s="96"/>
      <c r="F777" s="96"/>
      <c r="G777" s="96"/>
      <c r="H777" s="96"/>
      <c r="I777" s="96"/>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6"/>
      <c r="E778" s="96"/>
      <c r="F778" s="96"/>
      <c r="G778" s="96"/>
      <c r="H778" s="96"/>
      <c r="I778" s="96"/>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6"/>
      <c r="E779" s="96"/>
      <c r="F779" s="96"/>
      <c r="G779" s="96"/>
      <c r="H779" s="96"/>
      <c r="I779" s="96"/>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6"/>
      <c r="E780" s="96"/>
      <c r="F780" s="96"/>
      <c r="G780" s="96"/>
      <c r="H780" s="96"/>
      <c r="I780" s="96"/>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6"/>
      <c r="E781" s="96"/>
      <c r="F781" s="96"/>
      <c r="G781" s="96"/>
      <c r="H781" s="96"/>
      <c r="I781" s="96"/>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6"/>
      <c r="E782" s="96"/>
      <c r="F782" s="96"/>
      <c r="G782" s="96"/>
      <c r="H782" s="96"/>
      <c r="I782" s="96"/>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6"/>
      <c r="E783" s="96"/>
      <c r="F783" s="96"/>
      <c r="G783" s="96"/>
      <c r="H783" s="96"/>
      <c r="I783" s="96"/>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6"/>
      <c r="E784" s="96"/>
      <c r="F784" s="96"/>
      <c r="G784" s="96"/>
      <c r="H784" s="96"/>
      <c r="I784" s="96"/>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6"/>
      <c r="E785" s="96"/>
      <c r="F785" s="96"/>
      <c r="G785" s="96"/>
      <c r="H785" s="96"/>
      <c r="I785" s="96"/>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6"/>
      <c r="E786" s="96"/>
      <c r="F786" s="96"/>
      <c r="G786" s="96"/>
      <c r="H786" s="96"/>
      <c r="I786" s="96"/>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6"/>
      <c r="E787" s="96"/>
      <c r="F787" s="96"/>
      <c r="G787" s="96"/>
      <c r="H787" s="96"/>
      <c r="I787" s="96"/>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6"/>
      <c r="E788" s="96"/>
      <c r="F788" s="96"/>
      <c r="G788" s="96"/>
      <c r="H788" s="96"/>
      <c r="I788" s="96"/>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6"/>
      <c r="E789" s="96"/>
      <c r="F789" s="96"/>
      <c r="G789" s="96"/>
      <c r="H789" s="96"/>
      <c r="I789" s="96"/>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6"/>
      <c r="E790" s="96"/>
      <c r="F790" s="96"/>
      <c r="G790" s="96"/>
      <c r="H790" s="96"/>
      <c r="I790" s="96"/>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6"/>
      <c r="E791" s="96"/>
      <c r="F791" s="96"/>
      <c r="G791" s="96"/>
      <c r="H791" s="96"/>
      <c r="I791" s="96"/>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6"/>
      <c r="E792" s="96"/>
      <c r="F792" s="96"/>
      <c r="G792" s="96"/>
      <c r="H792" s="96"/>
      <c r="I792" s="96"/>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6"/>
      <c r="E793" s="96"/>
      <c r="F793" s="96"/>
      <c r="G793" s="96"/>
      <c r="H793" s="96"/>
      <c r="I793" s="96"/>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6"/>
      <c r="E794" s="96"/>
      <c r="F794" s="96"/>
      <c r="G794" s="96"/>
      <c r="H794" s="96"/>
      <c r="I794" s="96"/>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6"/>
      <c r="E795" s="96"/>
      <c r="F795" s="96"/>
      <c r="G795" s="96"/>
      <c r="H795" s="96"/>
      <c r="I795" s="96"/>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6"/>
      <c r="E796" s="96"/>
      <c r="F796" s="96"/>
      <c r="G796" s="96"/>
      <c r="H796" s="96"/>
      <c r="I796" s="96"/>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6"/>
      <c r="E797" s="96"/>
      <c r="F797" s="96"/>
      <c r="G797" s="96"/>
      <c r="H797" s="96"/>
      <c r="I797" s="96"/>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6"/>
      <c r="E798" s="96"/>
      <c r="F798" s="96"/>
      <c r="G798" s="96"/>
      <c r="H798" s="96"/>
      <c r="I798" s="96"/>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6"/>
      <c r="E799" s="96"/>
      <c r="F799" s="96"/>
      <c r="G799" s="96"/>
      <c r="H799" s="96"/>
      <c r="I799" s="96"/>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6"/>
      <c r="E800" s="96"/>
      <c r="F800" s="96"/>
      <c r="G800" s="96"/>
      <c r="H800" s="96"/>
      <c r="I800" s="96"/>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6"/>
      <c r="E801" s="96"/>
      <c r="F801" s="96"/>
      <c r="G801" s="96"/>
      <c r="H801" s="96"/>
      <c r="I801" s="96"/>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6"/>
      <c r="E802" s="96"/>
      <c r="F802" s="96"/>
      <c r="G802" s="96"/>
      <c r="H802" s="96"/>
      <c r="I802" s="96"/>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6"/>
      <c r="E803" s="96"/>
      <c r="F803" s="96"/>
      <c r="G803" s="96"/>
      <c r="H803" s="96"/>
      <c r="I803" s="96"/>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6"/>
      <c r="E804" s="96"/>
      <c r="F804" s="96"/>
      <c r="G804" s="96"/>
      <c r="H804" s="96"/>
      <c r="I804" s="96"/>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6"/>
      <c r="E805" s="96"/>
      <c r="F805" s="96"/>
      <c r="G805" s="96"/>
      <c r="H805" s="96"/>
      <c r="I805" s="96"/>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6"/>
      <c r="E806" s="96"/>
      <c r="F806" s="96"/>
      <c r="G806" s="96"/>
      <c r="H806" s="96"/>
      <c r="I806" s="96"/>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6"/>
      <c r="E807" s="96"/>
      <c r="F807" s="96"/>
      <c r="G807" s="96"/>
      <c r="H807" s="96"/>
      <c r="I807" s="96"/>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6"/>
      <c r="E808" s="96"/>
      <c r="F808" s="96"/>
      <c r="G808" s="96"/>
      <c r="H808" s="96"/>
      <c r="I808" s="96"/>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6"/>
      <c r="E809" s="96"/>
      <c r="F809" s="96"/>
      <c r="G809" s="96"/>
      <c r="H809" s="96"/>
      <c r="I809" s="96"/>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6"/>
      <c r="E810" s="96"/>
      <c r="F810" s="96"/>
      <c r="G810" s="96"/>
      <c r="H810" s="96"/>
      <c r="I810" s="96"/>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6"/>
      <c r="E811" s="96"/>
      <c r="F811" s="96"/>
      <c r="G811" s="96"/>
      <c r="H811" s="96"/>
      <c r="I811" s="96"/>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6"/>
      <c r="E812" s="96"/>
      <c r="F812" s="96"/>
      <c r="G812" s="96"/>
      <c r="H812" s="96"/>
      <c r="I812" s="96"/>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6"/>
      <c r="E813" s="96"/>
      <c r="F813" s="96"/>
      <c r="G813" s="96"/>
      <c r="H813" s="96"/>
      <c r="I813" s="96"/>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6"/>
      <c r="E814" s="96"/>
      <c r="F814" s="96"/>
      <c r="G814" s="96"/>
      <c r="H814" s="96"/>
      <c r="I814" s="96"/>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6"/>
      <c r="E815" s="96"/>
      <c r="F815" s="96"/>
      <c r="G815" s="96"/>
      <c r="H815" s="96"/>
      <c r="I815" s="96"/>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6"/>
      <c r="E816" s="96"/>
      <c r="F816" s="96"/>
      <c r="G816" s="96"/>
      <c r="H816" s="96"/>
      <c r="I816" s="96"/>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6"/>
      <c r="E817" s="96"/>
      <c r="F817" s="96"/>
      <c r="G817" s="96"/>
      <c r="H817" s="96"/>
      <c r="I817" s="96"/>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6"/>
      <c r="E818" s="96"/>
      <c r="F818" s="96"/>
      <c r="G818" s="96"/>
      <c r="H818" s="96"/>
      <c r="I818" s="96"/>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6"/>
      <c r="E819" s="96"/>
      <c r="F819" s="96"/>
      <c r="G819" s="96"/>
      <c r="H819" s="96"/>
      <c r="I819" s="96"/>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6"/>
      <c r="E820" s="96"/>
      <c r="F820" s="96"/>
      <c r="G820" s="96"/>
      <c r="H820" s="96"/>
      <c r="I820" s="96"/>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6"/>
      <c r="E821" s="96"/>
      <c r="F821" s="96"/>
      <c r="G821" s="96"/>
      <c r="H821" s="96"/>
      <c r="I821" s="96"/>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6"/>
      <c r="E822" s="96"/>
      <c r="F822" s="96"/>
      <c r="G822" s="96"/>
      <c r="H822" s="96"/>
      <c r="I822" s="96"/>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6"/>
      <c r="E823" s="96"/>
      <c r="F823" s="96"/>
      <c r="G823" s="96"/>
      <c r="H823" s="96"/>
      <c r="I823" s="96"/>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6"/>
      <c r="E824" s="96"/>
      <c r="F824" s="96"/>
      <c r="G824" s="96"/>
      <c r="H824" s="96"/>
      <c r="I824" s="96"/>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6"/>
      <c r="E825" s="96"/>
      <c r="F825" s="96"/>
      <c r="G825" s="96"/>
      <c r="H825" s="96"/>
      <c r="I825" s="96"/>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6"/>
      <c r="E826" s="96"/>
      <c r="F826" s="96"/>
      <c r="G826" s="96"/>
      <c r="H826" s="96"/>
      <c r="I826" s="96"/>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6"/>
      <c r="E827" s="96"/>
      <c r="F827" s="96"/>
      <c r="G827" s="96"/>
      <c r="H827" s="96"/>
      <c r="I827" s="96"/>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6"/>
      <c r="E828" s="96"/>
      <c r="F828" s="96"/>
      <c r="G828" s="96"/>
      <c r="H828" s="96"/>
      <c r="I828" s="96"/>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6"/>
      <c r="E829" s="96"/>
      <c r="F829" s="96"/>
      <c r="G829" s="96"/>
      <c r="H829" s="96"/>
      <c r="I829" s="96"/>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6"/>
      <c r="E830" s="96"/>
      <c r="F830" s="96"/>
      <c r="G830" s="96"/>
      <c r="H830" s="96"/>
      <c r="I830" s="96"/>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6"/>
      <c r="E831" s="96"/>
      <c r="F831" s="96"/>
      <c r="G831" s="96"/>
      <c r="H831" s="96"/>
      <c r="I831" s="96"/>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6"/>
      <c r="E832" s="96"/>
      <c r="F832" s="96"/>
      <c r="G832" s="96"/>
      <c r="H832" s="96"/>
      <c r="I832" s="96"/>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6"/>
      <c r="E833" s="96"/>
      <c r="F833" s="96"/>
      <c r="G833" s="96"/>
      <c r="H833" s="96"/>
      <c r="I833" s="96"/>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6"/>
      <c r="E834" s="96"/>
      <c r="F834" s="96"/>
      <c r="G834" s="96"/>
      <c r="H834" s="96"/>
      <c r="I834" s="96"/>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6"/>
      <c r="E835" s="96"/>
      <c r="F835" s="96"/>
      <c r="G835" s="96"/>
      <c r="H835" s="96"/>
      <c r="I835" s="96"/>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6"/>
      <c r="E836" s="96"/>
      <c r="F836" s="96"/>
      <c r="G836" s="96"/>
      <c r="H836" s="96"/>
      <c r="I836" s="96"/>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6"/>
      <c r="E837" s="96"/>
      <c r="F837" s="96"/>
      <c r="G837" s="96"/>
      <c r="H837" s="96"/>
      <c r="I837" s="96"/>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6"/>
      <c r="E838" s="96"/>
      <c r="F838" s="96"/>
      <c r="G838" s="96"/>
      <c r="H838" s="96"/>
      <c r="I838" s="96"/>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6"/>
      <c r="E839" s="96"/>
      <c r="F839" s="96"/>
      <c r="G839" s="96"/>
      <c r="H839" s="96"/>
      <c r="I839" s="96"/>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6"/>
      <c r="E840" s="96"/>
      <c r="F840" s="96"/>
      <c r="G840" s="96"/>
      <c r="H840" s="96"/>
      <c r="I840" s="96"/>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6"/>
      <c r="E841" s="96"/>
      <c r="F841" s="96"/>
      <c r="G841" s="96"/>
      <c r="H841" s="96"/>
      <c r="I841" s="96"/>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6"/>
      <c r="E842" s="96"/>
      <c r="F842" s="96"/>
      <c r="G842" s="96"/>
      <c r="H842" s="96"/>
      <c r="I842" s="96"/>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6"/>
      <c r="E843" s="96"/>
      <c r="F843" s="96"/>
      <c r="G843" s="96"/>
      <c r="H843" s="96"/>
      <c r="I843" s="96"/>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6"/>
      <c r="E844" s="96"/>
      <c r="F844" s="96"/>
      <c r="G844" s="96"/>
      <c r="H844" s="96"/>
      <c r="I844" s="96"/>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6"/>
      <c r="E845" s="96"/>
      <c r="F845" s="96"/>
      <c r="G845" s="96"/>
      <c r="H845" s="96"/>
      <c r="I845" s="96"/>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6"/>
      <c r="E846" s="96"/>
      <c r="F846" s="96"/>
      <c r="G846" s="96"/>
      <c r="H846" s="96"/>
      <c r="I846" s="96"/>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6"/>
      <c r="E847" s="96"/>
      <c r="F847" s="96"/>
      <c r="G847" s="96"/>
      <c r="H847" s="96"/>
      <c r="I847" s="96"/>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6"/>
      <c r="E848" s="96"/>
      <c r="F848" s="96"/>
      <c r="G848" s="96"/>
      <c r="H848" s="96"/>
      <c r="I848" s="96"/>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6"/>
      <c r="E849" s="96"/>
      <c r="F849" s="96"/>
      <c r="G849" s="96"/>
      <c r="H849" s="96"/>
      <c r="I849" s="96"/>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6"/>
      <c r="E850" s="96"/>
      <c r="F850" s="96"/>
      <c r="G850" s="96"/>
      <c r="H850" s="96"/>
      <c r="I850" s="96"/>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6"/>
      <c r="E851" s="96"/>
      <c r="F851" s="96"/>
      <c r="G851" s="96"/>
      <c r="H851" s="96"/>
      <c r="I851" s="96"/>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6"/>
      <c r="E852" s="96"/>
      <c r="F852" s="96"/>
      <c r="G852" s="96"/>
      <c r="H852" s="96"/>
      <c r="I852" s="96"/>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6"/>
      <c r="E853" s="96"/>
      <c r="F853" s="96"/>
      <c r="G853" s="96"/>
      <c r="H853" s="96"/>
      <c r="I853" s="96"/>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6"/>
      <c r="E854" s="96"/>
      <c r="F854" s="96"/>
      <c r="G854" s="96"/>
      <c r="H854" s="96"/>
      <c r="I854" s="96"/>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6"/>
      <c r="E855" s="96"/>
      <c r="F855" s="96"/>
      <c r="G855" s="96"/>
      <c r="H855" s="96"/>
      <c r="I855" s="96"/>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6"/>
      <c r="E856" s="96"/>
      <c r="F856" s="96"/>
      <c r="G856" s="96"/>
      <c r="H856" s="96"/>
      <c r="I856" s="96"/>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6"/>
      <c r="E857" s="96"/>
      <c r="F857" s="96"/>
      <c r="G857" s="96"/>
      <c r="H857" s="96"/>
      <c r="I857" s="96"/>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6"/>
      <c r="E858" s="96"/>
      <c r="F858" s="96"/>
      <c r="G858" s="96"/>
      <c r="H858" s="96"/>
      <c r="I858" s="96"/>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6"/>
      <c r="E859" s="96"/>
      <c r="F859" s="96"/>
      <c r="G859" s="96"/>
      <c r="H859" s="96"/>
      <c r="I859" s="96"/>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6"/>
      <c r="E860" s="96"/>
      <c r="F860" s="96"/>
      <c r="G860" s="96"/>
      <c r="H860" s="96"/>
      <c r="I860" s="96"/>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6"/>
      <c r="E861" s="96"/>
      <c r="F861" s="96"/>
      <c r="G861" s="96"/>
      <c r="H861" s="96"/>
      <c r="I861" s="96"/>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6"/>
      <c r="E862" s="96"/>
      <c r="F862" s="96"/>
      <c r="G862" s="96"/>
      <c r="H862" s="96"/>
      <c r="I862" s="96"/>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6"/>
      <c r="E863" s="96"/>
      <c r="F863" s="96"/>
      <c r="G863" s="96"/>
      <c r="H863" s="96"/>
      <c r="I863" s="96"/>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6"/>
      <c r="E864" s="96"/>
      <c r="F864" s="96"/>
      <c r="G864" s="96"/>
      <c r="H864" s="96"/>
      <c r="I864" s="96"/>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6"/>
      <c r="E865" s="96"/>
      <c r="F865" s="96"/>
      <c r="G865" s="96"/>
      <c r="H865" s="96"/>
      <c r="I865" s="96"/>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6"/>
      <c r="E866" s="96"/>
      <c r="F866" s="96"/>
      <c r="G866" s="96"/>
      <c r="H866" s="96"/>
      <c r="I866" s="96"/>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6"/>
      <c r="E867" s="96"/>
      <c r="F867" s="96"/>
      <c r="G867" s="96"/>
      <c r="H867" s="96"/>
      <c r="I867" s="96"/>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6"/>
      <c r="E868" s="96"/>
      <c r="F868" s="96"/>
      <c r="G868" s="96"/>
      <c r="H868" s="96"/>
      <c r="I868" s="96"/>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6"/>
      <c r="E869" s="96"/>
      <c r="F869" s="96"/>
      <c r="G869" s="96"/>
      <c r="H869" s="96"/>
      <c r="I869" s="96"/>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6"/>
      <c r="E870" s="96"/>
      <c r="F870" s="96"/>
      <c r="G870" s="96"/>
      <c r="H870" s="96"/>
      <c r="I870" s="96"/>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6"/>
      <c r="E871" s="96"/>
      <c r="F871" s="96"/>
      <c r="G871" s="96"/>
      <c r="H871" s="96"/>
      <c r="I871" s="96"/>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6"/>
      <c r="E872" s="96"/>
      <c r="F872" s="96"/>
      <c r="G872" s="96"/>
      <c r="H872" s="96"/>
      <c r="I872" s="96"/>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6"/>
      <c r="E873" s="96"/>
      <c r="F873" s="96"/>
      <c r="G873" s="96"/>
      <c r="H873" s="96"/>
      <c r="I873" s="96"/>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6"/>
      <c r="E874" s="96"/>
      <c r="F874" s="96"/>
      <c r="G874" s="96"/>
      <c r="H874" s="96"/>
      <c r="I874" s="96"/>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6"/>
      <c r="E875" s="96"/>
      <c r="F875" s="96"/>
      <c r="G875" s="96"/>
      <c r="H875" s="96"/>
      <c r="I875" s="96"/>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6"/>
      <c r="E876" s="96"/>
      <c r="F876" s="96"/>
      <c r="G876" s="96"/>
      <c r="H876" s="96"/>
      <c r="I876" s="96"/>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6"/>
      <c r="E877" s="96"/>
      <c r="F877" s="96"/>
      <c r="G877" s="96"/>
      <c r="H877" s="96"/>
      <c r="I877" s="96"/>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6"/>
      <c r="E878" s="96"/>
      <c r="F878" s="96"/>
      <c r="G878" s="96"/>
      <c r="H878" s="96"/>
      <c r="I878" s="96"/>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6"/>
      <c r="E879" s="96"/>
      <c r="F879" s="96"/>
      <c r="G879" s="96"/>
      <c r="H879" s="96"/>
      <c r="I879" s="96"/>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6"/>
      <c r="E880" s="96"/>
      <c r="F880" s="96"/>
      <c r="G880" s="96"/>
      <c r="H880" s="96"/>
      <c r="I880" s="96"/>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6"/>
      <c r="E881" s="96"/>
      <c r="F881" s="96"/>
      <c r="G881" s="96"/>
      <c r="H881" s="96"/>
      <c r="I881" s="96"/>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6"/>
      <c r="E882" s="96"/>
      <c r="F882" s="96"/>
      <c r="G882" s="96"/>
      <c r="H882" s="96"/>
      <c r="I882" s="96"/>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6"/>
      <c r="E883" s="96"/>
      <c r="F883" s="96"/>
      <c r="G883" s="96"/>
      <c r="H883" s="96"/>
      <c r="I883" s="96"/>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6"/>
      <c r="E884" s="96"/>
      <c r="F884" s="96"/>
      <c r="G884" s="96"/>
      <c r="H884" s="96"/>
      <c r="I884" s="96"/>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6"/>
      <c r="E885" s="96"/>
      <c r="F885" s="96"/>
      <c r="G885" s="96"/>
      <c r="H885" s="96"/>
      <c r="I885" s="96"/>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6"/>
      <c r="E886" s="96"/>
      <c r="F886" s="96"/>
      <c r="G886" s="96"/>
      <c r="H886" s="96"/>
      <c r="I886" s="96"/>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6"/>
      <c r="E887" s="96"/>
      <c r="F887" s="96"/>
      <c r="G887" s="96"/>
      <c r="H887" s="96"/>
      <c r="I887" s="96"/>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6"/>
      <c r="E888" s="96"/>
      <c r="F888" s="96"/>
      <c r="G888" s="96"/>
      <c r="H888" s="96"/>
      <c r="I888" s="96"/>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6"/>
      <c r="E889" s="96"/>
      <c r="F889" s="96"/>
      <c r="G889" s="96"/>
      <c r="H889" s="96"/>
      <c r="I889" s="96"/>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6"/>
      <c r="E890" s="96"/>
      <c r="F890" s="96"/>
      <c r="G890" s="96"/>
      <c r="H890" s="96"/>
      <c r="I890" s="96"/>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6"/>
      <c r="E891" s="96"/>
      <c r="F891" s="96"/>
      <c r="G891" s="96"/>
      <c r="H891" s="96"/>
      <c r="I891" s="96"/>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6"/>
      <c r="E892" s="96"/>
      <c r="F892" s="96"/>
      <c r="G892" s="96"/>
      <c r="H892" s="96"/>
      <c r="I892" s="96"/>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6"/>
      <c r="E893" s="96"/>
      <c r="F893" s="96"/>
      <c r="G893" s="96"/>
      <c r="H893" s="96"/>
      <c r="I893" s="96"/>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6"/>
      <c r="E894" s="96"/>
      <c r="F894" s="96"/>
      <c r="G894" s="96"/>
      <c r="H894" s="96"/>
      <c r="I894" s="96"/>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6"/>
      <c r="E895" s="96"/>
      <c r="F895" s="96"/>
      <c r="G895" s="96"/>
      <c r="H895" s="96"/>
      <c r="I895" s="96"/>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6"/>
      <c r="E896" s="96"/>
      <c r="F896" s="96"/>
      <c r="G896" s="96"/>
      <c r="H896" s="96"/>
      <c r="I896" s="96"/>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6"/>
      <c r="E897" s="96"/>
      <c r="F897" s="96"/>
      <c r="G897" s="96"/>
      <c r="H897" s="96"/>
      <c r="I897" s="96"/>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6"/>
      <c r="E898" s="96"/>
      <c r="F898" s="96"/>
      <c r="G898" s="96"/>
      <c r="H898" s="96"/>
      <c r="I898" s="96"/>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6"/>
      <c r="E899" s="96"/>
      <c r="F899" s="96"/>
      <c r="G899" s="96"/>
      <c r="H899" s="96"/>
      <c r="I899" s="96"/>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6"/>
      <c r="E900" s="96"/>
      <c r="F900" s="96"/>
      <c r="G900" s="96"/>
      <c r="H900" s="96"/>
      <c r="I900" s="96"/>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6"/>
      <c r="E901" s="96"/>
      <c r="F901" s="96"/>
      <c r="G901" s="96"/>
      <c r="H901" s="96"/>
      <c r="I901" s="96"/>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6"/>
      <c r="E902" s="96"/>
      <c r="F902" s="96"/>
      <c r="G902" s="96"/>
      <c r="H902" s="96"/>
      <c r="I902" s="96"/>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6"/>
      <c r="E903" s="96"/>
      <c r="F903" s="96"/>
      <c r="G903" s="96"/>
      <c r="H903" s="96"/>
      <c r="I903" s="96"/>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6"/>
      <c r="E904" s="96"/>
      <c r="F904" s="96"/>
      <c r="G904" s="96"/>
      <c r="H904" s="96"/>
      <c r="I904" s="96"/>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6"/>
      <c r="E905" s="96"/>
      <c r="F905" s="96"/>
      <c r="G905" s="96"/>
      <c r="H905" s="96"/>
      <c r="I905" s="96"/>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6"/>
      <c r="E906" s="96"/>
      <c r="F906" s="96"/>
      <c r="G906" s="96"/>
      <c r="H906" s="96"/>
      <c r="I906" s="96"/>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6"/>
      <c r="E907" s="96"/>
      <c r="F907" s="96"/>
      <c r="G907" s="96"/>
      <c r="H907" s="96"/>
      <c r="I907" s="96"/>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6"/>
      <c r="E908" s="96"/>
      <c r="F908" s="96"/>
      <c r="G908" s="96"/>
      <c r="H908" s="96"/>
      <c r="I908" s="96"/>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6"/>
      <c r="E909" s="96"/>
      <c r="F909" s="96"/>
      <c r="G909" s="96"/>
      <c r="H909" s="96"/>
      <c r="I909" s="96"/>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6"/>
      <c r="E910" s="96"/>
      <c r="F910" s="96"/>
      <c r="G910" s="96"/>
      <c r="H910" s="96"/>
      <c r="I910" s="96"/>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6"/>
      <c r="E911" s="96"/>
      <c r="F911" s="96"/>
      <c r="G911" s="96"/>
      <c r="H911" s="96"/>
      <c r="I911" s="96"/>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6"/>
      <c r="E912" s="96"/>
      <c r="F912" s="96"/>
      <c r="G912" s="96"/>
      <c r="H912" s="96"/>
      <c r="I912" s="96"/>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6"/>
      <c r="E913" s="96"/>
      <c r="F913" s="96"/>
      <c r="G913" s="96"/>
      <c r="H913" s="96"/>
      <c r="I913" s="96"/>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6"/>
      <c r="E914" s="96"/>
      <c r="F914" s="96"/>
      <c r="G914" s="96"/>
      <c r="H914" s="96"/>
      <c r="I914" s="96"/>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6"/>
      <c r="E915" s="96"/>
      <c r="F915" s="96"/>
      <c r="G915" s="96"/>
      <c r="H915" s="96"/>
      <c r="I915" s="96"/>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6"/>
      <c r="E916" s="96"/>
      <c r="F916" s="96"/>
      <c r="G916" s="96"/>
      <c r="H916" s="96"/>
      <c r="I916" s="96"/>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6"/>
      <c r="E917" s="96"/>
      <c r="F917" s="96"/>
      <c r="G917" s="96"/>
      <c r="H917" s="96"/>
      <c r="I917" s="96"/>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6"/>
      <c r="E918" s="96"/>
      <c r="F918" s="96"/>
      <c r="G918" s="96"/>
      <c r="H918" s="96"/>
      <c r="I918" s="96"/>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6"/>
      <c r="E919" s="96"/>
      <c r="F919" s="96"/>
      <c r="G919" s="96"/>
      <c r="H919" s="96"/>
      <c r="I919" s="96"/>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6"/>
      <c r="E920" s="96"/>
      <c r="F920" s="96"/>
      <c r="G920" s="96"/>
      <c r="H920" s="96"/>
      <c r="I920" s="96"/>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6"/>
      <c r="E921" s="96"/>
      <c r="F921" s="96"/>
      <c r="G921" s="96"/>
      <c r="H921" s="96"/>
      <c r="I921" s="96"/>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6"/>
      <c r="E922" s="96"/>
      <c r="F922" s="96"/>
      <c r="G922" s="96"/>
      <c r="H922" s="96"/>
      <c r="I922" s="96"/>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6"/>
      <c r="E923" s="96"/>
      <c r="F923" s="96"/>
      <c r="G923" s="96"/>
      <c r="H923" s="96"/>
      <c r="I923" s="96"/>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6"/>
      <c r="E924" s="96"/>
      <c r="F924" s="96"/>
      <c r="G924" s="96"/>
      <c r="H924" s="96"/>
      <c r="I924" s="96"/>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6"/>
      <c r="E925" s="96"/>
      <c r="F925" s="96"/>
      <c r="G925" s="96"/>
      <c r="H925" s="96"/>
      <c r="I925" s="96"/>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6"/>
      <c r="E926" s="96"/>
      <c r="F926" s="96"/>
      <c r="G926" s="96"/>
      <c r="H926" s="96"/>
      <c r="I926" s="96"/>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6"/>
      <c r="E927" s="96"/>
      <c r="F927" s="96"/>
      <c r="G927" s="96"/>
      <c r="H927" s="96"/>
      <c r="I927" s="96"/>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6"/>
      <c r="E928" s="96"/>
      <c r="F928" s="96"/>
      <c r="G928" s="96"/>
      <c r="H928" s="96"/>
      <c r="I928" s="96"/>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6"/>
      <c r="E929" s="96"/>
      <c r="F929" s="96"/>
      <c r="G929" s="96"/>
      <c r="H929" s="96"/>
      <c r="I929" s="96"/>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6"/>
      <c r="E930" s="96"/>
      <c r="F930" s="96"/>
      <c r="G930" s="96"/>
      <c r="H930" s="96"/>
      <c r="I930" s="96"/>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6"/>
      <c r="E931" s="96"/>
      <c r="F931" s="96"/>
      <c r="G931" s="96"/>
      <c r="H931" s="96"/>
      <c r="I931" s="96"/>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6"/>
      <c r="E932" s="96"/>
      <c r="F932" s="96"/>
      <c r="G932" s="96"/>
      <c r="H932" s="96"/>
      <c r="I932" s="96"/>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6"/>
      <c r="E933" s="96"/>
      <c r="F933" s="96"/>
      <c r="G933" s="96"/>
      <c r="H933" s="96"/>
      <c r="I933" s="96"/>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6"/>
      <c r="E934" s="96"/>
      <c r="F934" s="96"/>
      <c r="G934" s="96"/>
      <c r="H934" s="96"/>
      <c r="I934" s="96"/>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6"/>
      <c r="E935" s="96"/>
      <c r="F935" s="96"/>
      <c r="G935" s="96"/>
      <c r="H935" s="96"/>
      <c r="I935" s="96"/>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6"/>
      <c r="E936" s="96"/>
      <c r="F936" s="96"/>
      <c r="G936" s="96"/>
      <c r="H936" s="96"/>
      <c r="I936" s="96"/>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6"/>
      <c r="E937" s="96"/>
      <c r="F937" s="96"/>
      <c r="G937" s="96"/>
      <c r="H937" s="96"/>
      <c r="I937" s="96"/>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6"/>
      <c r="E938" s="96"/>
      <c r="F938" s="96"/>
      <c r="G938" s="96"/>
      <c r="H938" s="96"/>
      <c r="I938" s="96"/>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6"/>
      <c r="E939" s="96"/>
      <c r="F939" s="96"/>
      <c r="G939" s="96"/>
      <c r="H939" s="96"/>
      <c r="I939" s="96"/>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6"/>
      <c r="E940" s="96"/>
      <c r="F940" s="96"/>
      <c r="G940" s="96"/>
      <c r="H940" s="96"/>
      <c r="I940" s="96"/>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6"/>
      <c r="E941" s="96"/>
      <c r="F941" s="96"/>
      <c r="G941" s="96"/>
      <c r="H941" s="96"/>
      <c r="I941" s="96"/>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6"/>
      <c r="E942" s="96"/>
      <c r="F942" s="96"/>
      <c r="G942" s="96"/>
      <c r="H942" s="96"/>
      <c r="I942" s="96"/>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6"/>
      <c r="E943" s="96"/>
      <c r="F943" s="96"/>
      <c r="G943" s="96"/>
      <c r="H943" s="96"/>
      <c r="I943" s="96"/>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6"/>
      <c r="E944" s="96"/>
      <c r="F944" s="96"/>
      <c r="G944" s="96"/>
      <c r="H944" s="96"/>
      <c r="I944" s="96"/>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6"/>
      <c r="E945" s="96"/>
      <c r="F945" s="96"/>
      <c r="G945" s="96"/>
      <c r="H945" s="96"/>
      <c r="I945" s="96"/>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6"/>
      <c r="E946" s="96"/>
      <c r="F946" s="96"/>
      <c r="G946" s="96"/>
      <c r="H946" s="96"/>
      <c r="I946" s="96"/>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6"/>
      <c r="E947" s="96"/>
      <c r="F947" s="96"/>
      <c r="G947" s="96"/>
      <c r="H947" s="96"/>
      <c r="I947" s="96"/>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6"/>
      <c r="E948" s="96"/>
      <c r="F948" s="96"/>
      <c r="G948" s="96"/>
      <c r="H948" s="96"/>
      <c r="I948" s="96"/>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6"/>
      <c r="E949" s="96"/>
      <c r="F949" s="96"/>
      <c r="G949" s="96"/>
      <c r="H949" s="96"/>
      <c r="I949" s="96"/>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6"/>
      <c r="E950" s="96"/>
      <c r="F950" s="96"/>
      <c r="G950" s="96"/>
      <c r="H950" s="96"/>
      <c r="I950" s="96"/>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6"/>
      <c r="E951" s="96"/>
      <c r="F951" s="96"/>
      <c r="G951" s="96"/>
      <c r="H951" s="96"/>
      <c r="I951" s="96"/>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6"/>
      <c r="E952" s="96"/>
      <c r="F952" s="96"/>
      <c r="G952" s="96"/>
      <c r="H952" s="96"/>
      <c r="I952" s="96"/>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6"/>
      <c r="E953" s="96"/>
      <c r="F953" s="96"/>
      <c r="G953" s="96"/>
      <c r="H953" s="96"/>
      <c r="I953" s="96"/>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6"/>
      <c r="E954" s="96"/>
      <c r="F954" s="96"/>
      <c r="G954" s="96"/>
      <c r="H954" s="96"/>
      <c r="I954" s="96"/>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6"/>
      <c r="E955" s="96"/>
      <c r="F955" s="96"/>
      <c r="G955" s="96"/>
      <c r="H955" s="96"/>
      <c r="I955" s="96"/>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6"/>
      <c r="E956" s="96"/>
      <c r="F956" s="96"/>
      <c r="G956" s="96"/>
      <c r="H956" s="96"/>
      <c r="I956" s="96"/>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6"/>
      <c r="E957" s="96"/>
      <c r="F957" s="96"/>
      <c r="G957" s="96"/>
      <c r="H957" s="96"/>
      <c r="I957" s="96"/>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6"/>
      <c r="E958" s="96"/>
      <c r="F958" s="96"/>
      <c r="G958" s="96"/>
      <c r="H958" s="96"/>
      <c r="I958" s="96"/>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6"/>
      <c r="E959" s="96"/>
      <c r="F959" s="96"/>
      <c r="G959" s="96"/>
      <c r="H959" s="96"/>
      <c r="I959" s="96"/>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6"/>
      <c r="E960" s="96"/>
      <c r="F960" s="96"/>
      <c r="G960" s="96"/>
      <c r="H960" s="96"/>
      <c r="I960" s="96"/>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6"/>
      <c r="E961" s="96"/>
      <c r="F961" s="96"/>
      <c r="G961" s="96"/>
      <c r="H961" s="96"/>
      <c r="I961" s="96"/>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6"/>
      <c r="E962" s="96"/>
      <c r="F962" s="96"/>
      <c r="G962" s="96"/>
      <c r="H962" s="96"/>
      <c r="I962" s="96"/>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6"/>
      <c r="E963" s="96"/>
      <c r="F963" s="96"/>
      <c r="G963" s="96"/>
      <c r="H963" s="96"/>
      <c r="I963" s="96"/>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6"/>
      <c r="E964" s="96"/>
      <c r="F964" s="96"/>
      <c r="G964" s="96"/>
      <c r="H964" s="96"/>
      <c r="I964" s="96"/>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6"/>
      <c r="E965" s="96"/>
      <c r="F965" s="96"/>
      <c r="G965" s="96"/>
      <c r="H965" s="96"/>
      <c r="I965" s="96"/>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6"/>
      <c r="E966" s="96"/>
      <c r="F966" s="96"/>
      <c r="G966" s="96"/>
      <c r="H966" s="96"/>
      <c r="I966" s="96"/>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6"/>
      <c r="E967" s="96"/>
      <c r="F967" s="96"/>
      <c r="G967" s="96"/>
      <c r="H967" s="96"/>
      <c r="I967" s="96"/>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6"/>
      <c r="E968" s="96"/>
      <c r="F968" s="96"/>
      <c r="G968" s="96"/>
      <c r="H968" s="96"/>
      <c r="I968" s="96"/>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6"/>
      <c r="E969" s="96"/>
      <c r="F969" s="96"/>
      <c r="G969" s="96"/>
      <c r="H969" s="96"/>
      <c r="I969" s="96"/>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6"/>
      <c r="E970" s="96"/>
      <c r="F970" s="96"/>
      <c r="G970" s="96"/>
      <c r="H970" s="96"/>
      <c r="I970" s="96"/>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6"/>
      <c r="E971" s="96"/>
      <c r="F971" s="96"/>
      <c r="G971" s="96"/>
      <c r="H971" s="96"/>
      <c r="I971" s="96"/>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6"/>
      <c r="E972" s="96"/>
      <c r="F972" s="96"/>
      <c r="G972" s="96"/>
      <c r="H972" s="96"/>
      <c r="I972" s="96"/>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6"/>
      <c r="E973" s="96"/>
      <c r="F973" s="96"/>
      <c r="G973" s="96"/>
      <c r="H973" s="96"/>
      <c r="I973" s="96"/>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6"/>
      <c r="E974" s="96"/>
      <c r="F974" s="96"/>
      <c r="G974" s="96"/>
      <c r="H974" s="96"/>
      <c r="I974" s="96"/>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6"/>
      <c r="E975" s="96"/>
      <c r="F975" s="96"/>
      <c r="G975" s="96"/>
      <c r="H975" s="96"/>
      <c r="I975" s="96"/>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6"/>
      <c r="E976" s="96"/>
      <c r="F976" s="96"/>
      <c r="G976" s="96"/>
      <c r="H976" s="96"/>
      <c r="I976" s="96"/>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6"/>
      <c r="E977" s="96"/>
      <c r="F977" s="96"/>
      <c r="G977" s="96"/>
      <c r="H977" s="96"/>
      <c r="I977" s="96"/>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6"/>
      <c r="E978" s="96"/>
      <c r="F978" s="96"/>
      <c r="G978" s="96"/>
      <c r="H978" s="96"/>
      <c r="I978" s="96"/>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6"/>
      <c r="E979" s="96"/>
      <c r="F979" s="96"/>
      <c r="G979" s="96"/>
      <c r="H979" s="96"/>
      <c r="I979" s="96"/>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6"/>
      <c r="E980" s="96"/>
      <c r="F980" s="96"/>
      <c r="G980" s="96"/>
      <c r="H980" s="96"/>
      <c r="I980" s="96"/>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6"/>
      <c r="E981" s="96"/>
      <c r="F981" s="96"/>
      <c r="G981" s="96"/>
      <c r="H981" s="96"/>
      <c r="I981" s="96"/>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6"/>
      <c r="E982" s="96"/>
      <c r="F982" s="96"/>
      <c r="G982" s="96"/>
      <c r="H982" s="96"/>
      <c r="I982" s="96"/>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6"/>
      <c r="E983" s="96"/>
      <c r="F983" s="96"/>
      <c r="G983" s="96"/>
      <c r="H983" s="96"/>
      <c r="I983" s="96"/>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6"/>
      <c r="E984" s="96"/>
      <c r="F984" s="96"/>
      <c r="G984" s="96"/>
      <c r="H984" s="96"/>
      <c r="I984" s="96"/>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6"/>
      <c r="E985" s="96"/>
      <c r="F985" s="96"/>
      <c r="G985" s="96"/>
      <c r="H985" s="96"/>
      <c r="I985" s="96"/>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6"/>
      <c r="E986" s="96"/>
      <c r="F986" s="96"/>
      <c r="G986" s="96"/>
      <c r="H986" s="96"/>
      <c r="I986" s="96"/>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6"/>
      <c r="E987" s="96"/>
      <c r="F987" s="96"/>
      <c r="G987" s="96"/>
      <c r="H987" s="96"/>
      <c r="I987" s="96"/>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6"/>
      <c r="E988" s="96"/>
      <c r="F988" s="96"/>
      <c r="G988" s="96"/>
      <c r="H988" s="96"/>
      <c r="I988" s="96"/>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6"/>
      <c r="E989" s="96"/>
      <c r="F989" s="96"/>
      <c r="G989" s="96"/>
      <c r="H989" s="96"/>
      <c r="I989" s="96"/>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6"/>
      <c r="E990" s="96"/>
      <c r="F990" s="96"/>
      <c r="G990" s="96"/>
      <c r="H990" s="96"/>
      <c r="I990" s="96"/>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6"/>
      <c r="E991" s="96"/>
      <c r="F991" s="96"/>
      <c r="G991" s="96"/>
      <c r="H991" s="96"/>
      <c r="I991" s="96"/>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6"/>
      <c r="E992" s="96"/>
      <c r="F992" s="96"/>
      <c r="G992" s="96"/>
      <c r="H992" s="96"/>
      <c r="I992" s="96"/>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6"/>
      <c r="E993" s="96"/>
      <c r="F993" s="96"/>
      <c r="G993" s="96"/>
      <c r="H993" s="96"/>
      <c r="I993" s="96"/>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6"/>
      <c r="E994" s="96"/>
      <c r="F994" s="96"/>
      <c r="G994" s="96"/>
      <c r="H994" s="96"/>
      <c r="I994" s="96"/>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6"/>
      <c r="E995" s="96"/>
      <c r="F995" s="96"/>
      <c r="G995" s="96"/>
      <c r="H995" s="96"/>
      <c r="I995" s="96"/>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6"/>
      <c r="E996" s="96"/>
      <c r="F996" s="96"/>
      <c r="G996" s="96"/>
      <c r="H996" s="96"/>
      <c r="I996" s="96"/>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6"/>
      <c r="E997" s="96"/>
      <c r="F997" s="96"/>
      <c r="G997" s="96"/>
      <c r="H997" s="96"/>
      <c r="I997" s="96"/>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6"/>
      <c r="E998" s="96"/>
      <c r="F998" s="96"/>
      <c r="G998" s="96"/>
      <c r="H998" s="96"/>
      <c r="I998" s="96"/>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6"/>
      <c r="E999" s="96"/>
      <c r="F999" s="96"/>
      <c r="G999" s="96"/>
      <c r="H999" s="96"/>
      <c r="I999" s="96"/>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6"/>
      <c r="E1000" s="96"/>
      <c r="F1000" s="96"/>
      <c r="G1000" s="96"/>
      <c r="H1000" s="96"/>
      <c r="I1000" s="96"/>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6"/>
      <c r="E1001" s="96"/>
      <c r="F1001" s="96"/>
      <c r="G1001" s="96"/>
      <c r="H1001" s="96"/>
      <c r="I1001" s="96"/>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6"/>
      <c r="E1002" s="96"/>
      <c r="F1002" s="96"/>
      <c r="G1002" s="96"/>
      <c r="H1002" s="96"/>
      <c r="I1002" s="96"/>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6"/>
      <c r="E1003" s="96"/>
      <c r="F1003" s="96"/>
      <c r="G1003" s="96"/>
      <c r="H1003" s="96"/>
      <c r="I1003" s="96"/>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6"/>
      <c r="E1004" s="96"/>
      <c r="F1004" s="96"/>
      <c r="G1004" s="96"/>
      <c r="H1004" s="96"/>
      <c r="I1004" s="96"/>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6"/>
      <c r="E1005" s="96"/>
      <c r="F1005" s="96"/>
      <c r="G1005" s="96"/>
      <c r="H1005" s="96"/>
      <c r="I1005" s="96"/>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6"/>
      <c r="E1006" s="96"/>
      <c r="F1006" s="96"/>
      <c r="G1006" s="96"/>
      <c r="H1006" s="96"/>
      <c r="I1006" s="96"/>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6"/>
      <c r="E1007" s="96"/>
      <c r="F1007" s="96"/>
      <c r="G1007" s="96"/>
      <c r="H1007" s="96"/>
      <c r="I1007" s="96"/>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6"/>
      <c r="E1008" s="96"/>
      <c r="F1008" s="96"/>
      <c r="G1008" s="96"/>
      <c r="H1008" s="96"/>
      <c r="I1008" s="96"/>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6"/>
      <c r="E1009" s="96"/>
      <c r="F1009" s="96"/>
      <c r="G1009" s="96"/>
      <c r="H1009" s="96"/>
      <c r="I1009" s="96"/>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6"/>
      <c r="E1010" s="96"/>
      <c r="F1010" s="96"/>
      <c r="G1010" s="96"/>
      <c r="H1010" s="96"/>
      <c r="I1010" s="96"/>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6"/>
      <c r="E1011" s="96"/>
      <c r="F1011" s="96"/>
      <c r="G1011" s="96"/>
      <c r="H1011" s="96"/>
      <c r="I1011" s="96"/>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6"/>
      <c r="E1012" s="96"/>
      <c r="F1012" s="96"/>
      <c r="G1012" s="96"/>
      <c r="H1012" s="96"/>
      <c r="I1012" s="96"/>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6"/>
      <c r="E1013" s="96"/>
      <c r="F1013" s="96"/>
      <c r="G1013" s="96"/>
      <c r="H1013" s="96"/>
      <c r="I1013" s="96"/>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6"/>
      <c r="E1014" s="96"/>
      <c r="F1014" s="96"/>
      <c r="G1014" s="96"/>
      <c r="H1014" s="96"/>
      <c r="I1014" s="96"/>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6"/>
      <c r="E1015" s="96"/>
      <c r="F1015" s="96"/>
      <c r="G1015" s="96"/>
      <c r="H1015" s="96"/>
      <c r="I1015" s="96"/>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6"/>
      <c r="E1016" s="96"/>
      <c r="F1016" s="96"/>
      <c r="G1016" s="96"/>
      <c r="H1016" s="96"/>
      <c r="I1016" s="96"/>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6"/>
      <c r="E1017" s="96"/>
      <c r="F1017" s="96"/>
      <c r="G1017" s="96"/>
      <c r="H1017" s="96"/>
      <c r="I1017" s="96"/>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6"/>
      <c r="E1018" s="96"/>
      <c r="F1018" s="96"/>
      <c r="G1018" s="96"/>
      <c r="H1018" s="96"/>
      <c r="I1018" s="96"/>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6"/>
      <c r="E1019" s="96"/>
      <c r="F1019" s="96"/>
      <c r="G1019" s="96"/>
      <c r="H1019" s="96"/>
      <c r="I1019" s="96"/>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6"/>
      <c r="E1020" s="96"/>
      <c r="F1020" s="96"/>
      <c r="G1020" s="96"/>
      <c r="H1020" s="96"/>
      <c r="I1020" s="96"/>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6"/>
      <c r="E1021" s="96"/>
      <c r="F1021" s="96"/>
      <c r="G1021" s="96"/>
      <c r="H1021" s="96"/>
      <c r="I1021" s="96"/>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6"/>
      <c r="E1022" s="96"/>
      <c r="F1022" s="96"/>
      <c r="G1022" s="96"/>
      <c r="H1022" s="96"/>
      <c r="I1022" s="96"/>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6"/>
      <c r="E1023" s="96"/>
      <c r="F1023" s="96"/>
      <c r="G1023" s="96"/>
      <c r="H1023" s="96"/>
      <c r="I1023" s="96"/>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6"/>
      <c r="E1024" s="96"/>
      <c r="F1024" s="96"/>
      <c r="G1024" s="96"/>
      <c r="H1024" s="96"/>
      <c r="I1024" s="96"/>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6"/>
      <c r="E1025" s="96"/>
      <c r="F1025" s="96"/>
      <c r="G1025" s="96"/>
      <c r="H1025" s="96"/>
      <c r="I1025" s="96"/>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6"/>
      <c r="E1026" s="96"/>
      <c r="F1026" s="96"/>
      <c r="G1026" s="96"/>
      <c r="H1026" s="96"/>
      <c r="I1026" s="96"/>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6"/>
      <c r="E1027" s="96"/>
      <c r="F1027" s="96"/>
      <c r="G1027" s="96"/>
      <c r="H1027" s="96"/>
      <c r="I1027" s="96"/>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6"/>
      <c r="E1028" s="96"/>
      <c r="F1028" s="96"/>
      <c r="G1028" s="96"/>
      <c r="H1028" s="96"/>
      <c r="I1028" s="96"/>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6"/>
      <c r="E1029" s="96"/>
      <c r="F1029" s="96"/>
      <c r="G1029" s="96"/>
      <c r="H1029" s="96"/>
      <c r="I1029" s="96"/>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6"/>
      <c r="E1030" s="96"/>
      <c r="F1030" s="96"/>
      <c r="G1030" s="96"/>
      <c r="H1030" s="96"/>
      <c r="I1030" s="96"/>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6"/>
      <c r="E1031" s="96"/>
      <c r="F1031" s="96"/>
      <c r="G1031" s="96"/>
      <c r="H1031" s="96"/>
      <c r="I1031" s="96"/>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6"/>
      <c r="E1032" s="96"/>
      <c r="F1032" s="96"/>
      <c r="G1032" s="96"/>
      <c r="H1032" s="96"/>
      <c r="I1032" s="96"/>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6"/>
      <c r="E1033" s="96"/>
      <c r="F1033" s="96"/>
      <c r="G1033" s="96"/>
      <c r="H1033" s="96"/>
      <c r="I1033" s="96"/>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6"/>
      <c r="E1034" s="96"/>
      <c r="F1034" s="96"/>
      <c r="G1034" s="96"/>
      <c r="H1034" s="96"/>
      <c r="I1034" s="96"/>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6"/>
      <c r="E1035" s="96"/>
      <c r="F1035" s="96"/>
      <c r="G1035" s="96"/>
      <c r="H1035" s="96"/>
      <c r="I1035" s="96"/>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6"/>
      <c r="E1036" s="96"/>
      <c r="F1036" s="96"/>
      <c r="G1036" s="96"/>
      <c r="H1036" s="96"/>
      <c r="I1036" s="96"/>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6"/>
      <c r="E1037" s="96"/>
      <c r="F1037" s="96"/>
      <c r="G1037" s="96"/>
      <c r="H1037" s="96"/>
      <c r="I1037" s="96"/>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6"/>
      <c r="E1038" s="96"/>
      <c r="F1038" s="96"/>
      <c r="G1038" s="96"/>
      <c r="H1038" s="96"/>
      <c r="I1038" s="96"/>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6"/>
      <c r="E1039" s="96"/>
      <c r="F1039" s="96"/>
      <c r="G1039" s="96"/>
      <c r="H1039" s="96"/>
      <c r="I1039" s="96"/>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6"/>
      <c r="E1040" s="96"/>
      <c r="F1040" s="96"/>
      <c r="G1040" s="96"/>
      <c r="H1040" s="96"/>
      <c r="I1040" s="96"/>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6"/>
      <c r="E1041" s="96"/>
      <c r="F1041" s="96"/>
      <c r="G1041" s="96"/>
      <c r="H1041" s="96"/>
      <c r="I1041" s="96"/>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6"/>
      <c r="E1042" s="96"/>
      <c r="F1042" s="96"/>
      <c r="G1042" s="96"/>
      <c r="H1042" s="96"/>
      <c r="I1042" s="96"/>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6"/>
      <c r="E1043" s="96"/>
      <c r="F1043" s="96"/>
      <c r="G1043" s="96"/>
      <c r="H1043" s="96"/>
      <c r="I1043" s="96"/>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6"/>
      <c r="E1044" s="96"/>
      <c r="F1044" s="96"/>
      <c r="G1044" s="96"/>
      <c r="H1044" s="96"/>
      <c r="I1044" s="96"/>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6"/>
      <c r="E1045" s="96"/>
      <c r="F1045" s="96"/>
      <c r="G1045" s="96"/>
      <c r="H1045" s="96"/>
      <c r="I1045" s="96"/>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6"/>
      <c r="E1046" s="96"/>
      <c r="F1046" s="96"/>
      <c r="G1046" s="96"/>
      <c r="H1046" s="96"/>
      <c r="I1046" s="96"/>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6"/>
      <c r="E1047" s="96"/>
      <c r="F1047" s="96"/>
      <c r="G1047" s="96"/>
      <c r="H1047" s="96"/>
      <c r="I1047" s="96"/>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6"/>
      <c r="E1048" s="96"/>
      <c r="F1048" s="96"/>
      <c r="G1048" s="96"/>
      <c r="H1048" s="96"/>
      <c r="I1048" s="96"/>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6"/>
      <c r="E1049" s="96"/>
      <c r="F1049" s="96"/>
      <c r="G1049" s="96"/>
      <c r="H1049" s="96"/>
      <c r="I1049" s="96"/>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6"/>
      <c r="E1050" s="96"/>
      <c r="F1050" s="96"/>
      <c r="G1050" s="96"/>
      <c r="H1050" s="96"/>
      <c r="I1050" s="96"/>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6"/>
      <c r="E1051" s="96"/>
      <c r="F1051" s="96"/>
      <c r="G1051" s="96"/>
      <c r="H1051" s="96"/>
      <c r="I1051" s="96"/>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6"/>
      <c r="E1052" s="96"/>
      <c r="F1052" s="96"/>
      <c r="G1052" s="96"/>
      <c r="H1052" s="96"/>
      <c r="I1052" s="96"/>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6"/>
      <c r="E1053" s="96"/>
      <c r="F1053" s="96"/>
      <c r="G1053" s="96"/>
      <c r="H1053" s="96"/>
      <c r="I1053" s="96"/>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6"/>
      <c r="E1054" s="96"/>
      <c r="F1054" s="96"/>
      <c r="G1054" s="96"/>
      <c r="H1054" s="96"/>
      <c r="I1054" s="96"/>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6"/>
      <c r="E1055" s="96"/>
      <c r="F1055" s="96"/>
      <c r="G1055" s="96"/>
      <c r="H1055" s="96"/>
      <c r="I1055" s="96"/>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6"/>
      <c r="E1056" s="96"/>
      <c r="F1056" s="96"/>
      <c r="G1056" s="96"/>
      <c r="H1056" s="96"/>
      <c r="I1056" s="96"/>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6"/>
      <c r="E1057" s="96"/>
      <c r="F1057" s="96"/>
      <c r="G1057" s="96"/>
      <c r="H1057" s="96"/>
      <c r="I1057" s="96"/>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6"/>
      <c r="E1058" s="96"/>
      <c r="F1058" s="96"/>
      <c r="G1058" s="96"/>
      <c r="H1058" s="96"/>
      <c r="I1058" s="96"/>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6"/>
      <c r="E1059" s="96"/>
      <c r="F1059" s="96"/>
      <c r="G1059" s="96"/>
      <c r="H1059" s="96"/>
      <c r="I1059" s="96"/>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6"/>
      <c r="E1060" s="96"/>
      <c r="F1060" s="96"/>
      <c r="G1060" s="96"/>
      <c r="H1060" s="96"/>
      <c r="I1060" s="96"/>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6"/>
      <c r="E1061" s="96"/>
      <c r="F1061" s="96"/>
      <c r="G1061" s="96"/>
      <c r="H1061" s="96"/>
      <c r="I1061" s="96"/>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6"/>
      <c r="E1062" s="96"/>
      <c r="F1062" s="96"/>
      <c r="G1062" s="96"/>
      <c r="H1062" s="96"/>
      <c r="I1062" s="96"/>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6"/>
      <c r="E1063" s="96"/>
      <c r="F1063" s="96"/>
      <c r="G1063" s="96"/>
      <c r="H1063" s="96"/>
      <c r="I1063" s="96"/>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6"/>
      <c r="E1064" s="96"/>
      <c r="F1064" s="96"/>
      <c r="G1064" s="96"/>
      <c r="H1064" s="96"/>
      <c r="I1064" s="96"/>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6"/>
      <c r="E1065" s="96"/>
      <c r="F1065" s="96"/>
      <c r="G1065" s="96"/>
      <c r="H1065" s="96"/>
      <c r="I1065" s="96"/>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6"/>
      <c r="E1066" s="96"/>
      <c r="F1066" s="96"/>
      <c r="G1066" s="96"/>
      <c r="H1066" s="96"/>
      <c r="I1066" s="96"/>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6"/>
      <c r="E1067" s="96"/>
      <c r="F1067" s="96"/>
      <c r="G1067" s="96"/>
      <c r="H1067" s="96"/>
      <c r="I1067" s="96"/>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6"/>
      <c r="E1068" s="96"/>
      <c r="F1068" s="96"/>
      <c r="G1068" s="96"/>
      <c r="H1068" s="96"/>
      <c r="I1068" s="96"/>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6"/>
      <c r="E1069" s="96"/>
      <c r="F1069" s="96"/>
      <c r="G1069" s="96"/>
      <c r="H1069" s="96"/>
      <c r="I1069" s="96"/>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6"/>
      <c r="E1070" s="96"/>
      <c r="F1070" s="96"/>
      <c r="G1070" s="96"/>
      <c r="H1070" s="96"/>
      <c r="I1070" s="96"/>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6"/>
      <c r="E1071" s="96"/>
      <c r="F1071" s="96"/>
      <c r="G1071" s="96"/>
      <c r="H1071" s="96"/>
      <c r="I1071" s="96"/>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6"/>
      <c r="E1072" s="96"/>
      <c r="F1072" s="96"/>
      <c r="G1072" s="96"/>
      <c r="H1072" s="96"/>
      <c r="I1072" s="96"/>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6"/>
      <c r="E1073" s="96"/>
      <c r="F1073" s="96"/>
      <c r="G1073" s="96"/>
      <c r="H1073" s="96"/>
      <c r="I1073" s="96"/>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6"/>
      <c r="E1074" s="96"/>
      <c r="F1074" s="96"/>
      <c r="G1074" s="96"/>
      <c r="H1074" s="96"/>
      <c r="I1074" s="96"/>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6"/>
      <c r="E1075" s="96"/>
      <c r="F1075" s="96"/>
      <c r="G1075" s="96"/>
      <c r="H1075" s="96"/>
      <c r="I1075" s="96"/>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6"/>
      <c r="E1076" s="96"/>
      <c r="F1076" s="96"/>
      <c r="G1076" s="96"/>
      <c r="H1076" s="96"/>
      <c r="I1076" s="96"/>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6"/>
      <c r="E1077" s="96"/>
      <c r="F1077" s="96"/>
      <c r="G1077" s="96"/>
      <c r="H1077" s="96"/>
      <c r="I1077" s="96"/>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6"/>
      <c r="E1078" s="96"/>
      <c r="F1078" s="96"/>
      <c r="G1078" s="96"/>
      <c r="H1078" s="96"/>
      <c r="I1078" s="96"/>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6"/>
      <c r="E1079" s="96"/>
      <c r="F1079" s="96"/>
      <c r="G1079" s="96"/>
      <c r="H1079" s="96"/>
      <c r="I1079" s="96"/>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6"/>
      <c r="E1080" s="96"/>
      <c r="F1080" s="96"/>
      <c r="G1080" s="96"/>
      <c r="H1080" s="96"/>
      <c r="I1080" s="96"/>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6"/>
      <c r="E1081" s="96"/>
      <c r="F1081" s="96"/>
      <c r="G1081" s="96"/>
      <c r="H1081" s="96"/>
      <c r="I1081" s="96"/>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6"/>
      <c r="E1082" s="96"/>
      <c r="F1082" s="96"/>
      <c r="G1082" s="96"/>
      <c r="H1082" s="96"/>
      <c r="I1082" s="96"/>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6"/>
      <c r="E1083" s="96"/>
      <c r="F1083" s="96"/>
      <c r="G1083" s="96"/>
      <c r="H1083" s="96"/>
      <c r="I1083" s="96"/>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6"/>
      <c r="E1084" s="96"/>
      <c r="F1084" s="96"/>
      <c r="G1084" s="96"/>
      <c r="H1084" s="96"/>
      <c r="I1084" s="96"/>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6"/>
      <c r="E1085" s="96"/>
      <c r="F1085" s="96"/>
      <c r="G1085" s="96"/>
      <c r="H1085" s="96"/>
      <c r="I1085" s="96"/>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6"/>
      <c r="E1086" s="96"/>
      <c r="F1086" s="96"/>
      <c r="G1086" s="96"/>
      <c r="H1086" s="96"/>
      <c r="I1086" s="96"/>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6"/>
      <c r="E1087" s="96"/>
      <c r="F1087" s="96"/>
      <c r="G1087" s="96"/>
      <c r="H1087" s="96"/>
      <c r="I1087" s="96"/>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6"/>
      <c r="E1088" s="96"/>
      <c r="F1088" s="96"/>
      <c r="G1088" s="96"/>
      <c r="H1088" s="96"/>
      <c r="I1088" s="96"/>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6"/>
      <c r="E1089" s="96"/>
      <c r="F1089" s="96"/>
      <c r="G1089" s="96"/>
      <c r="H1089" s="96"/>
      <c r="I1089" s="96"/>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6"/>
      <c r="E1090" s="96"/>
      <c r="F1090" s="96"/>
      <c r="G1090" s="96"/>
      <c r="H1090" s="96"/>
      <c r="I1090" s="96"/>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6"/>
      <c r="E1091" s="96"/>
      <c r="F1091" s="96"/>
      <c r="G1091" s="96"/>
      <c r="H1091" s="96"/>
      <c r="I1091" s="96"/>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6"/>
      <c r="E1092" s="96"/>
      <c r="F1092" s="96"/>
      <c r="G1092" s="96"/>
      <c r="H1092" s="96"/>
      <c r="I1092" s="96"/>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6"/>
      <c r="E1093" s="96"/>
      <c r="F1093" s="96"/>
      <c r="G1093" s="96"/>
      <c r="H1093" s="96"/>
      <c r="I1093" s="96"/>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6"/>
      <c r="E1094" s="96"/>
      <c r="F1094" s="96"/>
      <c r="G1094" s="96"/>
      <c r="H1094" s="96"/>
      <c r="I1094" s="96"/>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6"/>
      <c r="E1095" s="96"/>
      <c r="F1095" s="96"/>
      <c r="G1095" s="96"/>
      <c r="H1095" s="96"/>
      <c r="I1095" s="96"/>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6"/>
      <c r="E1096" s="96"/>
      <c r="F1096" s="96"/>
      <c r="G1096" s="96"/>
      <c r="H1096" s="96"/>
      <c r="I1096" s="96"/>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6"/>
      <c r="E1097" s="96"/>
      <c r="F1097" s="96"/>
      <c r="G1097" s="96"/>
      <c r="H1097" s="96"/>
      <c r="I1097" s="96"/>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6"/>
      <c r="E1098" s="96"/>
      <c r="F1098" s="96"/>
      <c r="G1098" s="96"/>
      <c r="H1098" s="96"/>
      <c r="I1098" s="96"/>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6"/>
      <c r="E1099" s="96"/>
      <c r="F1099" s="96"/>
      <c r="G1099" s="96"/>
      <c r="H1099" s="96"/>
      <c r="I1099" s="96"/>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6"/>
      <c r="E1100" s="96"/>
      <c r="F1100" s="96"/>
      <c r="G1100" s="96"/>
      <c r="H1100" s="96"/>
      <c r="I1100" s="96"/>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6"/>
      <c r="E1101" s="96"/>
      <c r="F1101" s="96"/>
      <c r="G1101" s="96"/>
      <c r="H1101" s="96"/>
      <c r="I1101" s="96"/>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6"/>
      <c r="E1102" s="96"/>
      <c r="F1102" s="96"/>
      <c r="G1102" s="96"/>
      <c r="H1102" s="96"/>
      <c r="I1102" s="96"/>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6"/>
      <c r="E1103" s="96"/>
      <c r="F1103" s="96"/>
      <c r="G1103" s="96"/>
      <c r="H1103" s="96"/>
      <c r="I1103" s="96"/>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6"/>
      <c r="E1104" s="96"/>
      <c r="F1104" s="96"/>
      <c r="G1104" s="96"/>
      <c r="H1104" s="96"/>
      <c r="I1104" s="96"/>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6"/>
      <c r="E1105" s="96"/>
      <c r="F1105" s="96"/>
      <c r="G1105" s="96"/>
      <c r="H1105" s="96"/>
      <c r="I1105" s="96"/>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6"/>
      <c r="E1106" s="96"/>
      <c r="F1106" s="96"/>
      <c r="G1106" s="96"/>
      <c r="H1106" s="96"/>
      <c r="I1106" s="96"/>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6"/>
      <c r="E1107" s="96"/>
      <c r="F1107" s="96"/>
      <c r="G1107" s="96"/>
      <c r="H1107" s="96"/>
      <c r="I1107" s="96"/>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6"/>
      <c r="E1108" s="96"/>
      <c r="F1108" s="96"/>
      <c r="G1108" s="96"/>
      <c r="H1108" s="96"/>
      <c r="I1108" s="96"/>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6"/>
      <c r="E1109" s="96"/>
      <c r="F1109" s="96"/>
      <c r="G1109" s="96"/>
      <c r="H1109" s="96"/>
      <c r="I1109" s="96"/>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6"/>
      <c r="E1110" s="96"/>
      <c r="F1110" s="96"/>
      <c r="G1110" s="96"/>
      <c r="H1110" s="96"/>
      <c r="I1110" s="96"/>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6"/>
      <c r="E1111" s="96"/>
      <c r="F1111" s="96"/>
      <c r="G1111" s="96"/>
      <c r="H1111" s="96"/>
      <c r="I1111" s="96"/>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6"/>
      <c r="E1112" s="96"/>
      <c r="F1112" s="96"/>
      <c r="G1112" s="96"/>
      <c r="H1112" s="96"/>
      <c r="I1112" s="96"/>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6"/>
      <c r="E1113" s="96"/>
      <c r="F1113" s="96"/>
      <c r="G1113" s="96"/>
      <c r="H1113" s="96"/>
      <c r="I1113" s="96"/>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6"/>
      <c r="E1114" s="96"/>
      <c r="F1114" s="96"/>
      <c r="G1114" s="96"/>
      <c r="H1114" s="96"/>
      <c r="I1114" s="96"/>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6"/>
      <c r="E1115" s="96"/>
      <c r="F1115" s="96"/>
      <c r="G1115" s="96"/>
      <c r="H1115" s="96"/>
      <c r="I1115" s="96"/>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6"/>
      <c r="E1116" s="96"/>
      <c r="F1116" s="96"/>
      <c r="G1116" s="96"/>
      <c r="H1116" s="96"/>
      <c r="I1116" s="96"/>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6"/>
      <c r="E1117" s="96"/>
      <c r="F1117" s="96"/>
      <c r="G1117" s="96"/>
      <c r="H1117" s="96"/>
      <c r="I1117" s="96"/>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6"/>
      <c r="E1118" s="96"/>
      <c r="F1118" s="96"/>
      <c r="G1118" s="96"/>
      <c r="H1118" s="96"/>
      <c r="I1118" s="96"/>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6"/>
      <c r="E1119" s="96"/>
      <c r="F1119" s="96"/>
      <c r="G1119" s="96"/>
      <c r="H1119" s="96"/>
      <c r="I1119" s="96"/>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6"/>
      <c r="E1120" s="96"/>
      <c r="F1120" s="96"/>
      <c r="G1120" s="96"/>
      <c r="H1120" s="96"/>
      <c r="I1120" s="96"/>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6"/>
      <c r="E1121" s="96"/>
      <c r="F1121" s="96"/>
      <c r="G1121" s="96"/>
      <c r="H1121" s="96"/>
      <c r="I1121" s="96"/>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6"/>
      <c r="E1122" s="96"/>
      <c r="F1122" s="96"/>
      <c r="G1122" s="96"/>
      <c r="H1122" s="96"/>
      <c r="I1122" s="96"/>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6"/>
      <c r="E1123" s="96"/>
      <c r="F1123" s="96"/>
      <c r="G1123" s="96"/>
      <c r="H1123" s="96"/>
      <c r="I1123" s="96"/>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6"/>
      <c r="E1124" s="96"/>
      <c r="F1124" s="96"/>
      <c r="G1124" s="96"/>
      <c r="H1124" s="96"/>
      <c r="I1124" s="96"/>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6"/>
      <c r="E1125" s="96"/>
      <c r="F1125" s="96"/>
      <c r="G1125" s="96"/>
      <c r="H1125" s="96"/>
      <c r="I1125" s="96"/>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6"/>
      <c r="E1126" s="96"/>
      <c r="F1126" s="96"/>
      <c r="G1126" s="96"/>
      <c r="H1126" s="96"/>
      <c r="I1126" s="96"/>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6"/>
      <c r="E1127" s="96"/>
      <c r="F1127" s="96"/>
      <c r="G1127" s="96"/>
      <c r="H1127" s="96"/>
      <c r="I1127" s="96"/>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6"/>
      <c r="E1128" s="96"/>
      <c r="F1128" s="96"/>
      <c r="G1128" s="96"/>
      <c r="H1128" s="96"/>
      <c r="I1128" s="96"/>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6"/>
      <c r="E1129" s="96"/>
      <c r="F1129" s="96"/>
      <c r="G1129" s="96"/>
      <c r="H1129" s="96"/>
      <c r="I1129" s="96"/>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6"/>
      <c r="E1130" s="96"/>
      <c r="F1130" s="96"/>
      <c r="G1130" s="96"/>
      <c r="H1130" s="96"/>
      <c r="I1130" s="96"/>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6"/>
      <c r="E1131" s="96"/>
      <c r="F1131" s="96"/>
      <c r="G1131" s="96"/>
      <c r="H1131" s="96"/>
      <c r="I1131" s="96"/>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6"/>
      <c r="E1132" s="96"/>
      <c r="F1132" s="96"/>
      <c r="G1132" s="96"/>
      <c r="H1132" s="96"/>
      <c r="I1132" s="96"/>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6"/>
      <c r="E1133" s="96"/>
      <c r="F1133" s="96"/>
      <c r="G1133" s="96"/>
      <c r="H1133" s="96"/>
      <c r="I1133" s="96"/>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6"/>
      <c r="E1134" s="96"/>
      <c r="F1134" s="96"/>
      <c r="G1134" s="96"/>
      <c r="H1134" s="96"/>
      <c r="I1134" s="96"/>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6"/>
      <c r="E1135" s="96"/>
      <c r="F1135" s="96"/>
      <c r="G1135" s="96"/>
      <c r="H1135" s="96"/>
      <c r="I1135" s="96"/>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6"/>
      <c r="E1136" s="96"/>
      <c r="F1136" s="96"/>
      <c r="G1136" s="96"/>
      <c r="H1136" s="96"/>
      <c r="I1136" s="96"/>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6"/>
      <c r="E1137" s="96"/>
      <c r="F1137" s="96"/>
      <c r="G1137" s="96"/>
      <c r="H1137" s="96"/>
      <c r="I1137" s="96"/>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6"/>
      <c r="E1138" s="96"/>
      <c r="F1138" s="96"/>
      <c r="G1138" s="96"/>
      <c r="H1138" s="96"/>
      <c r="I1138" s="96"/>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6"/>
      <c r="E1139" s="96"/>
      <c r="F1139" s="96"/>
      <c r="G1139" s="96"/>
      <c r="H1139" s="96"/>
      <c r="I1139" s="96"/>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6"/>
      <c r="E1140" s="96"/>
      <c r="F1140" s="96"/>
      <c r="G1140" s="96"/>
      <c r="H1140" s="96"/>
      <c r="I1140" s="96"/>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6"/>
      <c r="E1141" s="96"/>
      <c r="F1141" s="96"/>
      <c r="G1141" s="96"/>
      <c r="H1141" s="96"/>
      <c r="I1141" s="96"/>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6"/>
      <c r="E1142" s="96"/>
      <c r="F1142" s="96"/>
      <c r="G1142" s="96"/>
      <c r="H1142" s="96"/>
      <c r="I1142" s="96"/>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6"/>
      <c r="E1143" s="96"/>
      <c r="F1143" s="96"/>
      <c r="G1143" s="96"/>
      <c r="H1143" s="96"/>
      <c r="I1143" s="96"/>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6"/>
      <c r="E1144" s="96"/>
      <c r="F1144" s="96"/>
      <c r="G1144" s="96"/>
      <c r="H1144" s="96"/>
      <c r="I1144" s="96"/>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6"/>
      <c r="E1145" s="96"/>
      <c r="F1145" s="96"/>
      <c r="G1145" s="96"/>
      <c r="H1145" s="96"/>
      <c r="I1145" s="96"/>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6"/>
      <c r="E1146" s="96"/>
      <c r="F1146" s="96"/>
      <c r="G1146" s="96"/>
      <c r="H1146" s="96"/>
      <c r="I1146" s="96"/>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6"/>
      <c r="E1147" s="96"/>
      <c r="F1147" s="96"/>
      <c r="G1147" s="96"/>
      <c r="H1147" s="96"/>
      <c r="I1147" s="96"/>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6"/>
      <c r="E1148" s="96"/>
      <c r="F1148" s="96"/>
      <c r="G1148" s="96"/>
      <c r="H1148" s="96"/>
      <c r="I1148" s="96"/>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6"/>
      <c r="E1149" s="96"/>
      <c r="F1149" s="96"/>
      <c r="G1149" s="96"/>
      <c r="H1149" s="96"/>
      <c r="I1149" s="96"/>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6"/>
      <c r="E1150" s="96"/>
      <c r="F1150" s="96"/>
      <c r="G1150" s="96"/>
      <c r="H1150" s="96"/>
      <c r="I1150" s="96"/>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6"/>
      <c r="E1151" s="96"/>
      <c r="F1151" s="96"/>
      <c r="G1151" s="96"/>
      <c r="H1151" s="96"/>
      <c r="I1151" s="96"/>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6"/>
      <c r="E1152" s="96"/>
      <c r="F1152" s="96"/>
      <c r="G1152" s="96"/>
      <c r="H1152" s="96"/>
      <c r="I1152" s="96"/>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6"/>
      <c r="E1153" s="96"/>
      <c r="F1153" s="96"/>
      <c r="G1153" s="96"/>
      <c r="H1153" s="96"/>
      <c r="I1153" s="96"/>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6"/>
      <c r="E1154" s="96"/>
      <c r="F1154" s="96"/>
      <c r="G1154" s="96"/>
      <c r="H1154" s="96"/>
      <c r="I1154" s="96"/>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6"/>
      <c r="E1155" s="96"/>
      <c r="F1155" s="96"/>
      <c r="G1155" s="96"/>
      <c r="H1155" s="96"/>
      <c r="I1155" s="96"/>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6"/>
      <c r="E1156" s="96"/>
      <c r="F1156" s="96"/>
      <c r="G1156" s="96"/>
      <c r="H1156" s="96"/>
      <c r="I1156" s="96"/>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6"/>
      <c r="E1157" s="96"/>
      <c r="F1157" s="96"/>
      <c r="G1157" s="96"/>
      <c r="H1157" s="96"/>
      <c r="I1157" s="96"/>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6"/>
      <c r="E1158" s="96"/>
      <c r="F1158" s="96"/>
      <c r="G1158" s="96"/>
      <c r="H1158" s="96"/>
      <c r="I1158" s="96"/>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6"/>
      <c r="E1159" s="96"/>
      <c r="F1159" s="96"/>
      <c r="G1159" s="96"/>
      <c r="H1159" s="96"/>
      <c r="I1159" s="96"/>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6"/>
      <c r="E1160" s="96"/>
      <c r="F1160" s="96"/>
      <c r="G1160" s="96"/>
      <c r="H1160" s="96"/>
      <c r="I1160" s="96"/>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6"/>
      <c r="E1161" s="96"/>
      <c r="F1161" s="96"/>
      <c r="G1161" s="96"/>
      <c r="H1161" s="96"/>
      <c r="I1161" s="96"/>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6"/>
      <c r="E1162" s="96"/>
      <c r="F1162" s="96"/>
      <c r="G1162" s="96"/>
      <c r="H1162" s="96"/>
      <c r="I1162" s="96"/>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6"/>
      <c r="E1163" s="96"/>
      <c r="F1163" s="96"/>
      <c r="G1163" s="96"/>
      <c r="H1163" s="96"/>
      <c r="I1163" s="96"/>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6"/>
      <c r="E1164" s="96"/>
      <c r="F1164" s="96"/>
      <c r="G1164" s="96"/>
      <c r="H1164" s="96"/>
      <c r="I1164" s="96"/>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6"/>
      <c r="E1165" s="96"/>
      <c r="F1165" s="96"/>
      <c r="G1165" s="96"/>
      <c r="H1165" s="96"/>
      <c r="I1165" s="96"/>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6"/>
      <c r="E1166" s="96"/>
      <c r="F1166" s="96"/>
      <c r="G1166" s="96"/>
      <c r="H1166" s="96"/>
      <c r="I1166" s="96"/>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6"/>
      <c r="E1167" s="96"/>
      <c r="F1167" s="96"/>
      <c r="G1167" s="96"/>
      <c r="H1167" s="96"/>
      <c r="I1167" s="96"/>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6"/>
      <c r="E1168" s="96"/>
      <c r="F1168" s="96"/>
      <c r="G1168" s="96"/>
      <c r="H1168" s="96"/>
      <c r="I1168" s="96"/>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6"/>
      <c r="E1169" s="96"/>
      <c r="F1169" s="96"/>
      <c r="G1169" s="96"/>
      <c r="H1169" s="96"/>
      <c r="I1169" s="96"/>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6"/>
      <c r="E1170" s="96"/>
      <c r="F1170" s="96"/>
      <c r="G1170" s="96"/>
      <c r="H1170" s="96"/>
      <c r="I1170" s="96"/>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6"/>
      <c r="E1171" s="96"/>
      <c r="F1171" s="96"/>
      <c r="G1171" s="96"/>
      <c r="H1171" s="96"/>
      <c r="I1171" s="96"/>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6"/>
      <c r="E1172" s="96"/>
      <c r="F1172" s="96"/>
      <c r="G1172" s="96"/>
      <c r="H1172" s="96"/>
      <c r="I1172" s="96"/>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6"/>
      <c r="E1173" s="96"/>
      <c r="F1173" s="96"/>
      <c r="G1173" s="96"/>
      <c r="H1173" s="96"/>
      <c r="I1173" s="96"/>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6"/>
      <c r="E1174" s="96"/>
      <c r="F1174" s="96"/>
      <c r="G1174" s="96"/>
      <c r="H1174" s="96"/>
      <c r="I1174" s="96"/>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6"/>
      <c r="E1175" s="96"/>
      <c r="F1175" s="96"/>
      <c r="G1175" s="96"/>
      <c r="H1175" s="96"/>
      <c r="I1175" s="96"/>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6"/>
      <c r="E1176" s="96"/>
      <c r="F1176" s="96"/>
      <c r="G1176" s="96"/>
      <c r="H1176" s="96"/>
      <c r="I1176" s="96"/>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6"/>
      <c r="E1177" s="96"/>
      <c r="F1177" s="96"/>
      <c r="G1177" s="96"/>
      <c r="H1177" s="96"/>
      <c r="I1177" s="96"/>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6"/>
      <c r="E1178" s="96"/>
      <c r="F1178" s="96"/>
      <c r="G1178" s="96"/>
      <c r="H1178" s="96"/>
      <c r="I1178" s="96"/>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6"/>
      <c r="E1179" s="96"/>
      <c r="F1179" s="96"/>
      <c r="G1179" s="96"/>
      <c r="H1179" s="96"/>
      <c r="I1179" s="96"/>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6"/>
      <c r="E1180" s="96"/>
      <c r="F1180" s="96"/>
      <c r="G1180" s="96"/>
      <c r="H1180" s="96"/>
      <c r="I1180" s="96"/>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6"/>
      <c r="E1181" s="96"/>
      <c r="F1181" s="96"/>
      <c r="G1181" s="96"/>
      <c r="H1181" s="96"/>
      <c r="I1181" s="96"/>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6"/>
      <c r="E1182" s="96"/>
      <c r="F1182" s="96"/>
      <c r="G1182" s="96"/>
      <c r="H1182" s="96"/>
      <c r="I1182" s="96"/>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6"/>
      <c r="E1183" s="96"/>
      <c r="F1183" s="96"/>
      <c r="G1183" s="96"/>
      <c r="H1183" s="96"/>
      <c r="I1183" s="96"/>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6"/>
      <c r="E1184" s="96"/>
      <c r="F1184" s="96"/>
      <c r="G1184" s="96"/>
      <c r="H1184" s="96"/>
      <c r="I1184" s="96"/>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6"/>
      <c r="E1185" s="96"/>
      <c r="F1185" s="96"/>
      <c r="G1185" s="96"/>
      <c r="H1185" s="96"/>
      <c r="I1185" s="96"/>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6"/>
      <c r="E1186" s="96"/>
      <c r="F1186" s="96"/>
      <c r="G1186" s="96"/>
      <c r="H1186" s="96"/>
      <c r="I1186" s="96"/>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6"/>
      <c r="E1187" s="96"/>
      <c r="F1187" s="96"/>
      <c r="G1187" s="96"/>
      <c r="H1187" s="96"/>
      <c r="I1187" s="96"/>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6"/>
      <c r="E1188" s="96"/>
      <c r="F1188" s="96"/>
      <c r="G1188" s="96"/>
      <c r="H1188" s="96"/>
      <c r="I1188" s="96"/>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6"/>
      <c r="E1189" s="96"/>
      <c r="F1189" s="96"/>
      <c r="G1189" s="96"/>
      <c r="H1189" s="96"/>
      <c r="I1189" s="96"/>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6"/>
      <c r="E1190" s="96"/>
      <c r="F1190" s="96"/>
      <c r="G1190" s="96"/>
      <c r="H1190" s="96"/>
      <c r="I1190" s="96"/>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6"/>
      <c r="E1191" s="96"/>
      <c r="F1191" s="96"/>
      <c r="G1191" s="96"/>
      <c r="H1191" s="96"/>
      <c r="I1191" s="96"/>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6"/>
      <c r="E1192" s="96"/>
      <c r="F1192" s="96"/>
      <c r="G1192" s="96"/>
      <c r="H1192" s="96"/>
      <c r="I1192" s="96"/>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6"/>
      <c r="E1193" s="96"/>
      <c r="F1193" s="96"/>
      <c r="G1193" s="96"/>
      <c r="H1193" s="96"/>
      <c r="I1193" s="96"/>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6"/>
      <c r="E1194" s="96"/>
      <c r="F1194" s="96"/>
      <c r="G1194" s="96"/>
      <c r="H1194" s="96"/>
      <c r="I1194" s="96"/>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6"/>
      <c r="E1195" s="96"/>
      <c r="F1195" s="96"/>
      <c r="G1195" s="96"/>
      <c r="H1195" s="96"/>
      <c r="I1195" s="96"/>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6"/>
      <c r="E1196" s="96"/>
      <c r="F1196" s="96"/>
      <c r="G1196" s="96"/>
      <c r="H1196" s="96"/>
      <c r="I1196" s="96"/>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6"/>
      <c r="E1197" s="96"/>
      <c r="F1197" s="96"/>
      <c r="G1197" s="96"/>
      <c r="H1197" s="96"/>
      <c r="I1197" s="96"/>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6"/>
      <c r="E1198" s="96"/>
      <c r="F1198" s="96"/>
      <c r="G1198" s="96"/>
      <c r="H1198" s="96"/>
      <c r="I1198" s="96"/>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6"/>
      <c r="E1199" s="96"/>
      <c r="F1199" s="96"/>
      <c r="G1199" s="96"/>
      <c r="H1199" s="96"/>
      <c r="I1199" s="96"/>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6"/>
      <c r="E1200" s="96"/>
      <c r="F1200" s="96"/>
      <c r="G1200" s="96"/>
      <c r="H1200" s="96"/>
      <c r="I1200" s="96"/>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6"/>
      <c r="E1201" s="96"/>
      <c r="F1201" s="96"/>
      <c r="G1201" s="96"/>
      <c r="H1201" s="96"/>
      <c r="I1201" s="96"/>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6"/>
      <c r="E1202" s="96"/>
      <c r="F1202" s="96"/>
      <c r="G1202" s="96"/>
      <c r="H1202" s="96"/>
      <c r="I1202" s="96"/>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6"/>
      <c r="E1203" s="96"/>
      <c r="F1203" s="96"/>
      <c r="G1203" s="96"/>
      <c r="H1203" s="96"/>
      <c r="I1203" s="96"/>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6"/>
      <c r="E1204" s="96"/>
      <c r="F1204" s="96"/>
      <c r="G1204" s="96"/>
      <c r="H1204" s="96"/>
      <c r="I1204" s="96"/>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6"/>
      <c r="E1205" s="96"/>
      <c r="F1205" s="96"/>
      <c r="G1205" s="96"/>
      <c r="H1205" s="96"/>
      <c r="I1205" s="96"/>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6"/>
      <c r="E1206" s="96"/>
      <c r="F1206" s="96"/>
      <c r="G1206" s="96"/>
      <c r="H1206" s="96"/>
      <c r="I1206" s="96"/>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6"/>
      <c r="E1207" s="96"/>
      <c r="F1207" s="96"/>
      <c r="G1207" s="96"/>
      <c r="H1207" s="96"/>
      <c r="I1207" s="96"/>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6"/>
      <c r="E1208" s="96"/>
      <c r="F1208" s="96"/>
      <c r="G1208" s="96"/>
      <c r="H1208" s="96"/>
      <c r="I1208" s="96"/>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6"/>
      <c r="E1209" s="96"/>
      <c r="F1209" s="96"/>
      <c r="G1209" s="96"/>
      <c r="H1209" s="96"/>
      <c r="I1209" s="96"/>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6"/>
      <c r="E1210" s="96"/>
      <c r="F1210" s="96"/>
      <c r="G1210" s="96"/>
      <c r="H1210" s="96"/>
      <c r="I1210" s="96"/>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6"/>
      <c r="E1211" s="96"/>
      <c r="F1211" s="96"/>
      <c r="G1211" s="96"/>
      <c r="H1211" s="96"/>
      <c r="I1211" s="96"/>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6"/>
      <c r="E1212" s="96"/>
      <c r="F1212" s="96"/>
      <c r="G1212" s="96"/>
      <c r="H1212" s="96"/>
      <c r="I1212" s="96"/>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6"/>
      <c r="E1213" s="96"/>
      <c r="F1213" s="96"/>
      <c r="G1213" s="96"/>
      <c r="H1213" s="96"/>
      <c r="I1213" s="96"/>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6"/>
      <c r="E1214" s="96"/>
      <c r="F1214" s="96"/>
      <c r="G1214" s="96"/>
      <c r="H1214" s="96"/>
      <c r="I1214" s="96"/>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6"/>
      <c r="E1215" s="96"/>
      <c r="F1215" s="96"/>
      <c r="G1215" s="96"/>
      <c r="H1215" s="96"/>
      <c r="I1215" s="96"/>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6"/>
      <c r="E1216" s="96"/>
      <c r="F1216" s="96"/>
      <c r="G1216" s="96"/>
      <c r="H1216" s="96"/>
      <c r="I1216" s="96"/>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6"/>
      <c r="E1217" s="96"/>
      <c r="F1217" s="96"/>
      <c r="G1217" s="96"/>
      <c r="H1217" s="96"/>
      <c r="I1217" s="96"/>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6"/>
      <c r="E1218" s="96"/>
      <c r="F1218" s="96"/>
      <c r="G1218" s="96"/>
      <c r="H1218" s="96"/>
      <c r="I1218" s="96"/>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6"/>
      <c r="E1219" s="96"/>
      <c r="F1219" s="96"/>
      <c r="G1219" s="96"/>
      <c r="H1219" s="96"/>
      <c r="I1219" s="96"/>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6"/>
      <c r="E1220" s="96"/>
      <c r="F1220" s="96"/>
      <c r="G1220" s="96"/>
      <c r="H1220" s="96"/>
      <c r="I1220" s="96"/>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6"/>
      <c r="E1221" s="96"/>
      <c r="F1221" s="96"/>
      <c r="G1221" s="96"/>
      <c r="H1221" s="96"/>
      <c r="I1221" s="96"/>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6"/>
      <c r="E1222" s="96"/>
      <c r="F1222" s="96"/>
      <c r="G1222" s="96"/>
      <c r="H1222" s="96"/>
      <c r="I1222" s="96"/>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6"/>
      <c r="E1223" s="96"/>
      <c r="F1223" s="96"/>
      <c r="G1223" s="96"/>
      <c r="H1223" s="96"/>
      <c r="I1223" s="96"/>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6"/>
      <c r="E1224" s="96"/>
      <c r="F1224" s="96"/>
      <c r="G1224" s="96"/>
      <c r="H1224" s="96"/>
      <c r="I1224" s="96"/>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6"/>
      <c r="E1225" s="96"/>
      <c r="F1225" s="96"/>
      <c r="G1225" s="96"/>
      <c r="H1225" s="96"/>
      <c r="I1225" s="96"/>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6"/>
      <c r="E1226" s="96"/>
      <c r="F1226" s="96"/>
      <c r="G1226" s="96"/>
      <c r="H1226" s="96"/>
      <c r="I1226" s="96"/>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6"/>
      <c r="E1227" s="96"/>
      <c r="F1227" s="96"/>
      <c r="G1227" s="96"/>
      <c r="H1227" s="96"/>
      <c r="I1227" s="96"/>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6"/>
      <c r="E1228" s="96"/>
      <c r="F1228" s="96"/>
      <c r="G1228" s="96"/>
      <c r="H1228" s="96"/>
      <c r="I1228" s="96"/>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6"/>
      <c r="E1229" s="96"/>
      <c r="F1229" s="96"/>
      <c r="G1229" s="96"/>
      <c r="H1229" s="96"/>
      <c r="I1229" s="96"/>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6"/>
      <c r="E1230" s="96"/>
      <c r="F1230" s="96"/>
      <c r="G1230" s="96"/>
      <c r="H1230" s="96"/>
      <c r="I1230" s="96"/>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6"/>
      <c r="E1231" s="96"/>
      <c r="F1231" s="96"/>
      <c r="G1231" s="96"/>
      <c r="H1231" s="96"/>
      <c r="I1231" s="96"/>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6"/>
      <c r="E1232" s="96"/>
      <c r="F1232" s="96"/>
      <c r="G1232" s="96"/>
      <c r="H1232" s="96"/>
      <c r="I1232" s="96"/>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6"/>
      <c r="E1233" s="96"/>
      <c r="F1233" s="96"/>
      <c r="G1233" s="96"/>
      <c r="H1233" s="96"/>
      <c r="I1233" s="96"/>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6"/>
      <c r="E1234" s="96"/>
      <c r="F1234" s="96"/>
      <c r="G1234" s="96"/>
      <c r="H1234" s="96"/>
      <c r="I1234" s="96"/>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6"/>
      <c r="E1235" s="96"/>
      <c r="F1235" s="96"/>
      <c r="G1235" s="96"/>
      <c r="H1235" s="96"/>
      <c r="I1235" s="96"/>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6"/>
      <c r="E1236" s="96"/>
      <c r="F1236" s="96"/>
      <c r="G1236" s="96"/>
      <c r="H1236" s="96"/>
      <c r="I1236" s="96"/>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6"/>
      <c r="E1237" s="96"/>
      <c r="F1237" s="96"/>
      <c r="G1237" s="96"/>
      <c r="H1237" s="96"/>
      <c r="I1237" s="96"/>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6"/>
      <c r="E1238" s="96"/>
      <c r="F1238" s="96"/>
      <c r="G1238" s="96"/>
      <c r="H1238" s="96"/>
      <c r="I1238" s="96"/>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6"/>
      <c r="E1239" s="96"/>
      <c r="F1239" s="96"/>
      <c r="G1239" s="96"/>
      <c r="H1239" s="96"/>
      <c r="I1239" s="96"/>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6"/>
      <c r="E1240" s="96"/>
      <c r="F1240" s="96"/>
      <c r="G1240" s="96"/>
      <c r="H1240" s="96"/>
      <c r="I1240" s="96"/>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6"/>
      <c r="E1241" s="96"/>
      <c r="F1241" s="96"/>
      <c r="G1241" s="96"/>
      <c r="H1241" s="96"/>
      <c r="I1241" s="96"/>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6"/>
      <c r="E1242" s="96"/>
      <c r="F1242" s="96"/>
      <c r="G1242" s="96"/>
      <c r="H1242" s="96"/>
      <c r="I1242" s="96"/>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6"/>
      <c r="E1243" s="96"/>
      <c r="F1243" s="96"/>
      <c r="G1243" s="96"/>
      <c r="H1243" s="96"/>
      <c r="I1243" s="96"/>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6"/>
      <c r="E1244" s="96"/>
      <c r="F1244" s="96"/>
      <c r="G1244" s="96"/>
      <c r="H1244" s="96"/>
      <c r="I1244" s="96"/>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6"/>
      <c r="E1245" s="96"/>
      <c r="F1245" s="96"/>
      <c r="G1245" s="96"/>
      <c r="H1245" s="96"/>
      <c r="I1245" s="96"/>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6"/>
      <c r="E1246" s="96"/>
      <c r="F1246" s="96"/>
      <c r="G1246" s="96"/>
      <c r="H1246" s="96"/>
      <c r="I1246" s="96"/>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6"/>
      <c r="E1247" s="96"/>
      <c r="F1247" s="96"/>
      <c r="G1247" s="96"/>
      <c r="H1247" s="96"/>
      <c r="I1247" s="96"/>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6"/>
      <c r="E1248" s="96"/>
      <c r="F1248" s="96"/>
      <c r="G1248" s="96"/>
      <c r="H1248" s="96"/>
      <c r="I1248" s="96"/>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6"/>
      <c r="E1249" s="96"/>
      <c r="F1249" s="96"/>
      <c r="G1249" s="96"/>
      <c r="H1249" s="96"/>
      <c r="I1249" s="96"/>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6"/>
      <c r="E1250" s="96"/>
      <c r="F1250" s="96"/>
      <c r="G1250" s="96"/>
      <c r="H1250" s="96"/>
      <c r="I1250" s="96"/>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6"/>
      <c r="E1251" s="96"/>
      <c r="F1251" s="96"/>
      <c r="G1251" s="96"/>
      <c r="H1251" s="96"/>
      <c r="I1251" s="96"/>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6"/>
      <c r="E1252" s="96"/>
      <c r="F1252" s="96"/>
      <c r="G1252" s="96"/>
      <c r="H1252" s="96"/>
      <c r="I1252" s="96"/>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6"/>
      <c r="E1253" s="96"/>
      <c r="F1253" s="96"/>
      <c r="G1253" s="96"/>
      <c r="H1253" s="96"/>
      <c r="I1253" s="96"/>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6"/>
      <c r="E1254" s="96"/>
      <c r="F1254" s="96"/>
      <c r="G1254" s="96"/>
      <c r="H1254" s="96"/>
      <c r="I1254" s="96"/>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6"/>
      <c r="E1255" s="96"/>
      <c r="F1255" s="96"/>
      <c r="G1255" s="96"/>
      <c r="H1255" s="96"/>
      <c r="I1255" s="96"/>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6"/>
      <c r="E1256" s="96"/>
      <c r="F1256" s="96"/>
      <c r="G1256" s="96"/>
      <c r="H1256" s="96"/>
      <c r="I1256" s="96"/>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6"/>
      <c r="E1257" s="96"/>
      <c r="F1257" s="96"/>
      <c r="G1257" s="96"/>
      <c r="H1257" s="96"/>
      <c r="I1257" s="96"/>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6"/>
      <c r="E1258" s="96"/>
      <c r="F1258" s="96"/>
      <c r="G1258" s="96"/>
      <c r="H1258" s="96"/>
      <c r="I1258" s="96"/>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6"/>
      <c r="E1259" s="96"/>
      <c r="F1259" s="96"/>
      <c r="G1259" s="96"/>
      <c r="H1259" s="96"/>
      <c r="I1259" s="96"/>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6"/>
      <c r="E1260" s="96"/>
      <c r="F1260" s="96"/>
      <c r="G1260" s="96"/>
      <c r="H1260" s="96"/>
      <c r="I1260" s="96"/>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6"/>
      <c r="E1261" s="96"/>
      <c r="F1261" s="96"/>
      <c r="G1261" s="96"/>
      <c r="H1261" s="96"/>
      <c r="I1261" s="96"/>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6"/>
      <c r="E1262" s="96"/>
      <c r="F1262" s="96"/>
      <c r="G1262" s="96"/>
      <c r="H1262" s="96"/>
      <c r="I1262" s="96"/>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6"/>
      <c r="E1263" s="96"/>
      <c r="F1263" s="96"/>
      <c r="G1263" s="96"/>
      <c r="H1263" s="96"/>
      <c r="I1263" s="96"/>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6"/>
      <c r="E1264" s="96"/>
      <c r="F1264" s="96"/>
      <c r="G1264" s="96"/>
      <c r="H1264" s="96"/>
      <c r="I1264" s="96"/>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6"/>
      <c r="E1265" s="96"/>
      <c r="F1265" s="96"/>
      <c r="G1265" s="96"/>
      <c r="H1265" s="96"/>
      <c r="I1265" s="96"/>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6"/>
      <c r="E1266" s="96"/>
      <c r="F1266" s="96"/>
      <c r="G1266" s="96"/>
      <c r="H1266" s="96"/>
      <c r="I1266" s="96"/>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6"/>
      <c r="E1267" s="96"/>
      <c r="F1267" s="96"/>
      <c r="G1267" s="96"/>
      <c r="H1267" s="96"/>
      <c r="I1267" s="96"/>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6"/>
      <c r="E1268" s="96"/>
      <c r="F1268" s="96"/>
      <c r="G1268" s="96"/>
      <c r="H1268" s="96"/>
      <c r="I1268" s="96"/>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6"/>
      <c r="E1269" s="96"/>
      <c r="F1269" s="96"/>
      <c r="G1269" s="96"/>
      <c r="H1269" s="96"/>
      <c r="I1269" s="96"/>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6"/>
      <c r="E1270" s="96"/>
      <c r="F1270" s="96"/>
      <c r="G1270" s="96"/>
      <c r="H1270" s="96"/>
      <c r="I1270" s="96"/>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6"/>
      <c r="E1271" s="96"/>
      <c r="F1271" s="96"/>
      <c r="G1271" s="96"/>
      <c r="H1271" s="96"/>
      <c r="I1271" s="96"/>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6"/>
      <c r="E1272" s="96"/>
      <c r="F1272" s="96"/>
      <c r="G1272" s="96"/>
      <c r="H1272" s="96"/>
      <c r="I1272" s="96"/>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6"/>
      <c r="E1273" s="96"/>
      <c r="F1273" s="96"/>
      <c r="G1273" s="96"/>
      <c r="H1273" s="96"/>
      <c r="I1273" s="96"/>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6"/>
      <c r="E1274" s="96"/>
      <c r="F1274" s="96"/>
      <c r="G1274" s="96"/>
      <c r="H1274" s="96"/>
      <c r="I1274" s="96"/>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6"/>
      <c r="E1275" s="96"/>
      <c r="F1275" s="96"/>
      <c r="G1275" s="96"/>
      <c r="H1275" s="96"/>
      <c r="I1275" s="96"/>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6"/>
      <c r="E1276" s="96"/>
      <c r="F1276" s="96"/>
      <c r="G1276" s="96"/>
      <c r="H1276" s="96"/>
      <c r="I1276" s="96"/>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6"/>
      <c r="E1277" s="96"/>
      <c r="F1277" s="96"/>
      <c r="G1277" s="96"/>
      <c r="H1277" s="96"/>
      <c r="I1277" s="96"/>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6"/>
      <c r="E1278" s="96"/>
      <c r="F1278" s="96"/>
      <c r="G1278" s="96"/>
      <c r="H1278" s="96"/>
      <c r="I1278" s="96"/>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6"/>
      <c r="E1279" s="96"/>
      <c r="F1279" s="96"/>
      <c r="G1279" s="96"/>
      <c r="H1279" s="96"/>
      <c r="I1279" s="96"/>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6"/>
      <c r="E1280" s="96"/>
      <c r="F1280" s="96"/>
      <c r="G1280" s="96"/>
      <c r="H1280" s="96"/>
      <c r="I1280" s="96"/>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6"/>
      <c r="E1281" s="96"/>
      <c r="F1281" s="96"/>
      <c r="G1281" s="96"/>
      <c r="H1281" s="96"/>
      <c r="I1281" s="96"/>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6"/>
      <c r="E1282" s="96"/>
      <c r="F1282" s="96"/>
      <c r="G1282" s="96"/>
      <c r="H1282" s="96"/>
      <c r="I1282" s="96"/>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6"/>
      <c r="E1283" s="96"/>
      <c r="F1283" s="96"/>
      <c r="G1283" s="96"/>
      <c r="H1283" s="96"/>
      <c r="I1283" s="96"/>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6"/>
      <c r="E1284" s="96"/>
      <c r="F1284" s="96"/>
      <c r="G1284" s="96"/>
      <c r="H1284" s="96"/>
      <c r="I1284" s="96"/>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6"/>
      <c r="E1285" s="96"/>
      <c r="F1285" s="96"/>
      <c r="G1285" s="96"/>
      <c r="H1285" s="96"/>
      <c r="I1285" s="96"/>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6"/>
      <c r="E1286" s="96"/>
      <c r="F1286" s="96"/>
      <c r="G1286" s="96"/>
      <c r="H1286" s="96"/>
      <c r="I1286" s="96"/>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6"/>
      <c r="E1287" s="96"/>
      <c r="F1287" s="96"/>
      <c r="G1287" s="96"/>
      <c r="H1287" s="96"/>
      <c r="I1287" s="96"/>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6"/>
      <c r="E1288" s="96"/>
      <c r="F1288" s="96"/>
      <c r="G1288" s="96"/>
      <c r="H1288" s="96"/>
      <c r="I1288" s="96"/>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6"/>
      <c r="E1289" s="96"/>
      <c r="F1289" s="96"/>
      <c r="G1289" s="96"/>
      <c r="H1289" s="96"/>
      <c r="I1289" s="96"/>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6"/>
      <c r="E1290" s="96"/>
      <c r="F1290" s="96"/>
      <c r="G1290" s="96"/>
      <c r="H1290" s="96"/>
      <c r="I1290" s="96"/>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6"/>
      <c r="E1291" s="96"/>
      <c r="F1291" s="96"/>
      <c r="G1291" s="96"/>
      <c r="H1291" s="96"/>
      <c r="I1291" s="96"/>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6"/>
      <c r="E1292" s="96"/>
      <c r="F1292" s="96"/>
      <c r="G1292" s="96"/>
      <c r="H1292" s="96"/>
      <c r="I1292" s="96"/>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6"/>
      <c r="E1293" s="96"/>
      <c r="F1293" s="96"/>
      <c r="G1293" s="96"/>
      <c r="H1293" s="96"/>
      <c r="I1293" s="96"/>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6"/>
      <c r="E1294" s="96"/>
      <c r="F1294" s="96"/>
      <c r="G1294" s="96"/>
      <c r="H1294" s="96"/>
      <c r="I1294" s="96"/>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6"/>
      <c r="E1295" s="96"/>
      <c r="F1295" s="96"/>
      <c r="G1295" s="96"/>
      <c r="H1295" s="96"/>
      <c r="I1295" s="96"/>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6"/>
      <c r="E1296" s="96"/>
      <c r="F1296" s="96"/>
      <c r="G1296" s="96"/>
      <c r="H1296" s="96"/>
      <c r="I1296" s="96"/>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6"/>
      <c r="E1297" s="96"/>
      <c r="F1297" s="96"/>
      <c r="G1297" s="96"/>
      <c r="H1297" s="96"/>
      <c r="I1297" s="96"/>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6"/>
      <c r="E1298" s="96"/>
      <c r="F1298" s="96"/>
      <c r="G1298" s="96"/>
      <c r="H1298" s="96"/>
      <c r="I1298" s="96"/>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6"/>
      <c r="E1299" s="96"/>
      <c r="F1299" s="96"/>
      <c r="G1299" s="96"/>
      <c r="H1299" s="96"/>
      <c r="I1299" s="96"/>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6"/>
      <c r="E1300" s="96"/>
      <c r="F1300" s="96"/>
      <c r="G1300" s="96"/>
      <c r="H1300" s="96"/>
      <c r="I1300" s="96"/>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6"/>
      <c r="E1301" s="96"/>
      <c r="F1301" s="96"/>
      <c r="G1301" s="96"/>
      <c r="H1301" s="96"/>
      <c r="I1301" s="96"/>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6"/>
      <c r="E1302" s="96"/>
      <c r="F1302" s="96"/>
      <c r="G1302" s="96"/>
      <c r="H1302" s="96"/>
      <c r="I1302" s="96"/>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6"/>
      <c r="E1303" s="96"/>
      <c r="F1303" s="96"/>
      <c r="G1303" s="96"/>
      <c r="H1303" s="96"/>
      <c r="I1303" s="96"/>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6"/>
      <c r="E1304" s="96"/>
      <c r="F1304" s="96"/>
      <c r="G1304" s="96"/>
      <c r="H1304" s="96"/>
      <c r="I1304" s="96"/>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6"/>
      <c r="E1305" s="96"/>
      <c r="F1305" s="96"/>
      <c r="G1305" s="96"/>
      <c r="H1305" s="96"/>
      <c r="I1305" s="96"/>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6"/>
      <c r="E1306" s="96"/>
      <c r="F1306" s="96"/>
      <c r="G1306" s="96"/>
      <c r="H1306" s="96"/>
      <c r="I1306" s="96"/>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6"/>
      <c r="E1307" s="96"/>
      <c r="F1307" s="96"/>
      <c r="G1307" s="96"/>
      <c r="H1307" s="96"/>
      <c r="I1307" s="96"/>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6"/>
      <c r="E1308" s="96"/>
      <c r="F1308" s="96"/>
      <c r="G1308" s="96"/>
      <c r="H1308" s="96"/>
      <c r="I1308" s="96"/>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6"/>
      <c r="E1309" s="96"/>
      <c r="F1309" s="96"/>
      <c r="G1309" s="96"/>
      <c r="H1309" s="96"/>
      <c r="I1309" s="96"/>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6"/>
      <c r="E1310" s="96"/>
      <c r="F1310" s="96"/>
      <c r="G1310" s="96"/>
      <c r="H1310" s="96"/>
      <c r="I1310" s="96"/>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6"/>
      <c r="E1311" s="96"/>
      <c r="F1311" s="96"/>
      <c r="G1311" s="96"/>
      <c r="H1311" s="96"/>
      <c r="I1311" s="96"/>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6"/>
      <c r="E1312" s="96"/>
      <c r="F1312" s="96"/>
      <c r="G1312" s="96"/>
      <c r="H1312" s="96"/>
      <c r="I1312" s="96"/>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6"/>
      <c r="E1313" s="96"/>
      <c r="F1313" s="96"/>
      <c r="G1313" s="96"/>
      <c r="H1313" s="96"/>
      <c r="I1313" s="96"/>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6"/>
      <c r="E1314" s="96"/>
      <c r="F1314" s="96"/>
      <c r="G1314" s="96"/>
      <c r="H1314" s="96"/>
      <c r="I1314" s="96"/>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6"/>
      <c r="E1315" s="96"/>
      <c r="F1315" s="96"/>
      <c r="G1315" s="96"/>
      <c r="H1315" s="96"/>
      <c r="I1315" s="96"/>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6"/>
      <c r="E1316" s="96"/>
      <c r="F1316" s="96"/>
      <c r="G1316" s="96"/>
      <c r="H1316" s="96"/>
      <c r="I1316" s="96"/>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6"/>
      <c r="E1317" s="96"/>
      <c r="F1317" s="96"/>
      <c r="G1317" s="96"/>
      <c r="H1317" s="96"/>
      <c r="I1317" s="96"/>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6"/>
      <c r="E1318" s="96"/>
      <c r="F1318" s="96"/>
      <c r="G1318" s="96"/>
      <c r="H1318" s="96"/>
      <c r="I1318" s="96"/>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6"/>
      <c r="E1319" s="96"/>
      <c r="F1319" s="96"/>
      <c r="G1319" s="96"/>
      <c r="H1319" s="96"/>
      <c r="I1319" s="96"/>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6"/>
      <c r="E1320" s="96"/>
      <c r="F1320" s="96"/>
      <c r="G1320" s="96"/>
      <c r="H1320" s="96"/>
      <c r="I1320" s="96"/>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6"/>
      <c r="E1321" s="96"/>
      <c r="F1321" s="96"/>
      <c r="G1321" s="96"/>
      <c r="H1321" s="96"/>
      <c r="I1321" s="96"/>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6"/>
      <c r="E1322" s="96"/>
      <c r="F1322" s="96"/>
      <c r="G1322" s="96"/>
      <c r="H1322" s="96"/>
      <c r="I1322" s="96"/>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6"/>
      <c r="E1323" s="96"/>
      <c r="F1323" s="96"/>
      <c r="G1323" s="96"/>
      <c r="H1323" s="96"/>
      <c r="I1323" s="96"/>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6"/>
      <c r="E1324" s="96"/>
      <c r="F1324" s="96"/>
      <c r="G1324" s="96"/>
      <c r="H1324" s="96"/>
      <c r="I1324" s="96"/>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6"/>
      <c r="E1325" s="96"/>
      <c r="F1325" s="96"/>
      <c r="G1325" s="96"/>
      <c r="H1325" s="96"/>
      <c r="I1325" s="96"/>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6"/>
      <c r="E1326" s="96"/>
      <c r="F1326" s="96"/>
      <c r="G1326" s="96"/>
      <c r="H1326" s="96"/>
      <c r="I1326" s="96"/>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6"/>
      <c r="E1327" s="96"/>
      <c r="F1327" s="96"/>
      <c r="G1327" s="96"/>
      <c r="H1327" s="96"/>
      <c r="I1327" s="96"/>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6"/>
      <c r="E1328" s="96"/>
      <c r="F1328" s="96"/>
      <c r="G1328" s="96"/>
      <c r="H1328" s="96"/>
      <c r="I1328" s="96"/>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6"/>
      <c r="E1329" s="96"/>
      <c r="F1329" s="96"/>
      <c r="G1329" s="96"/>
      <c r="H1329" s="96"/>
      <c r="I1329" s="96"/>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6"/>
      <c r="E1330" s="96"/>
      <c r="F1330" s="96"/>
      <c r="G1330" s="96"/>
      <c r="H1330" s="96"/>
      <c r="I1330" s="96"/>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6"/>
      <c r="E1331" s="96"/>
      <c r="F1331" s="96"/>
      <c r="G1331" s="96"/>
      <c r="H1331" s="96"/>
      <c r="I1331" s="96"/>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6"/>
      <c r="E1332" s="96"/>
      <c r="F1332" s="96"/>
      <c r="G1332" s="96"/>
      <c r="H1332" s="96"/>
      <c r="I1332" s="96"/>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6"/>
      <c r="E1333" s="96"/>
      <c r="F1333" s="96"/>
      <c r="G1333" s="96"/>
      <c r="H1333" s="96"/>
      <c r="I1333" s="96"/>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6"/>
      <c r="E1334" s="96"/>
      <c r="F1334" s="96"/>
      <c r="G1334" s="96"/>
      <c r="H1334" s="96"/>
      <c r="I1334" s="96"/>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6"/>
      <c r="E1335" s="96"/>
      <c r="F1335" s="96"/>
      <c r="G1335" s="96"/>
      <c r="H1335" s="96"/>
      <c r="I1335" s="96"/>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6"/>
      <c r="E1336" s="96"/>
      <c r="F1336" s="96"/>
      <c r="G1336" s="96"/>
      <c r="H1336" s="96"/>
      <c r="I1336" s="96"/>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6"/>
      <c r="E1337" s="96"/>
      <c r="F1337" s="96"/>
      <c r="G1337" s="96"/>
      <c r="H1337" s="96"/>
      <c r="I1337" s="96"/>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6"/>
      <c r="E1338" s="96"/>
      <c r="F1338" s="96"/>
      <c r="G1338" s="96"/>
      <c r="H1338" s="96"/>
      <c r="I1338" s="96"/>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6"/>
      <c r="E1339" s="96"/>
      <c r="F1339" s="96"/>
      <c r="G1339" s="96"/>
      <c r="H1339" s="96"/>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6"/>
      <c r="E1340" s="96"/>
      <c r="F1340" s="96"/>
      <c r="G1340" s="96"/>
      <c r="H1340" s="96"/>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sheetProtection algorithmName="SHA-512" hashValue="NX4KGeBSwRbRZP0rAeqbSVJioKeI9OAeqLgRI7/PWoswpUi4ZwOVuH2F7Lx4q5jLYE37BTQKSbYZBlVVFIZWtA==" saltValue="BxKk4TR8dctNcLxDzj/lmA==" spinCount="100000" sheet="1" objects="1" scenarios="1"/>
  <mergeCells count="33">
    <mergeCell ref="F14:G14"/>
    <mergeCell ref="F16:G16"/>
    <mergeCell ref="P2:R4"/>
    <mergeCell ref="B2:N2"/>
    <mergeCell ref="B4:G4"/>
    <mergeCell ref="F6:G6"/>
    <mergeCell ref="K4:N4"/>
    <mergeCell ref="M6:N6"/>
    <mergeCell ref="F20:G20"/>
    <mergeCell ref="M26:N26"/>
    <mergeCell ref="M16:N16"/>
    <mergeCell ref="I16:I17"/>
    <mergeCell ref="F8:G8"/>
    <mergeCell ref="M8:N8"/>
    <mergeCell ref="B12:N12"/>
    <mergeCell ref="M18:N18"/>
    <mergeCell ref="M24:N24"/>
    <mergeCell ref="M20:N20"/>
    <mergeCell ref="F18:G18"/>
    <mergeCell ref="F24:G24"/>
    <mergeCell ref="M22:N22"/>
    <mergeCell ref="B10:C10"/>
    <mergeCell ref="M14:N14"/>
    <mergeCell ref="F10:G10"/>
    <mergeCell ref="M34:N34"/>
    <mergeCell ref="F32:G32"/>
    <mergeCell ref="M30:N30"/>
    <mergeCell ref="F28:G28"/>
    <mergeCell ref="F22:G22"/>
    <mergeCell ref="F30:G30"/>
    <mergeCell ref="M32:N32"/>
    <mergeCell ref="F26:G26"/>
    <mergeCell ref="M28:N28"/>
  </mergeCells>
  <phoneticPr fontId="7" type="noConversion"/>
  <hyperlinks>
    <hyperlink ref="K4:M4" location="'Language 3'!A1" display="if you have chosen 3, click here to go to language customisation"/>
    <hyperlink ref="P2:P3" location="Start!A1" display="Home"/>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BD205"/>
  <sheetViews>
    <sheetView zoomScale="80" zoomScaleNormal="80" workbookViewId="0">
      <selection activeCell="S206" sqref="S206"/>
    </sheetView>
  </sheetViews>
  <sheetFormatPr baseColWidth="10" defaultColWidth="11.453125" defaultRowHeight="12.5"/>
  <cols>
    <col min="1" max="8" width="25.26953125" style="449" customWidth="1"/>
    <col min="9" max="9" width="25.26953125" style="478" customWidth="1"/>
    <col min="10" max="10" width="25.26953125" style="449" customWidth="1"/>
    <col min="11" max="11" width="25.26953125" style="478" customWidth="1"/>
    <col min="12" max="15" width="25.26953125" style="449" customWidth="1"/>
    <col min="16" max="16" width="25.26953125" style="479" customWidth="1"/>
    <col min="17" max="17" width="25.26953125" style="459" customWidth="1"/>
    <col min="18" max="18" width="25.26953125" style="479" customWidth="1"/>
    <col min="19" max="23" width="25.453125" style="449" customWidth="1"/>
    <col min="24" max="24" width="25.453125" style="480" customWidth="1"/>
    <col min="25" max="16384" width="11.453125" style="449"/>
  </cols>
  <sheetData>
    <row r="1" spans="1:56">
      <c r="X1" s="449"/>
    </row>
    <row r="2" spans="1:56" s="435" customFormat="1" ht="13">
      <c r="A2" s="435">
        <v>1</v>
      </c>
      <c r="B2" s="435">
        <v>2</v>
      </c>
      <c r="C2" s="435">
        <v>3</v>
      </c>
      <c r="D2" s="435">
        <v>4</v>
      </c>
      <c r="E2" s="435">
        <v>5</v>
      </c>
      <c r="F2" s="435">
        <v>6</v>
      </c>
      <c r="G2" s="435">
        <v>7</v>
      </c>
      <c r="H2" s="435">
        <v>8</v>
      </c>
      <c r="I2" s="436">
        <v>9</v>
      </c>
      <c r="J2" s="435">
        <v>10</v>
      </c>
      <c r="K2" s="436">
        <v>11</v>
      </c>
      <c r="L2" s="435">
        <v>12</v>
      </c>
      <c r="M2" s="435">
        <v>13</v>
      </c>
      <c r="N2" s="435">
        <v>14</v>
      </c>
      <c r="O2" s="435">
        <v>15</v>
      </c>
      <c r="P2" s="437">
        <v>16</v>
      </c>
      <c r="Q2" s="438">
        <v>17</v>
      </c>
      <c r="R2" s="437">
        <v>18</v>
      </c>
      <c r="S2" s="435">
        <v>19</v>
      </c>
      <c r="T2" s="435">
        <v>20</v>
      </c>
      <c r="U2" s="435">
        <v>21</v>
      </c>
      <c r="V2" s="435">
        <v>22</v>
      </c>
      <c r="W2" s="435">
        <v>23</v>
      </c>
      <c r="X2" s="435">
        <v>24</v>
      </c>
    </row>
    <row r="3" spans="1:56">
      <c r="X3" s="449"/>
    </row>
    <row r="4" spans="1:56" s="443" customFormat="1" ht="13">
      <c r="A4" s="439" t="s">
        <v>1770</v>
      </c>
      <c r="B4" s="440" t="s">
        <v>1771</v>
      </c>
      <c r="C4" s="439" t="s">
        <v>1660</v>
      </c>
      <c r="D4" s="361" t="s">
        <v>566</v>
      </c>
      <c r="E4" s="439" t="s">
        <v>3049</v>
      </c>
      <c r="F4" s="361" t="s">
        <v>1784</v>
      </c>
      <c r="G4" s="361" t="s">
        <v>688</v>
      </c>
      <c r="H4" s="489" t="s">
        <v>786</v>
      </c>
      <c r="I4" s="439" t="s">
        <v>3122</v>
      </c>
      <c r="J4" s="361" t="s">
        <v>292</v>
      </c>
      <c r="K4" s="481" t="s">
        <v>1981</v>
      </c>
      <c r="L4" s="361" t="s">
        <v>1756</v>
      </c>
      <c r="M4" s="441" t="s">
        <v>2138</v>
      </c>
      <c r="N4" s="361" t="s">
        <v>2198</v>
      </c>
      <c r="O4" s="361" t="s">
        <v>330</v>
      </c>
      <c r="P4" s="442" t="s">
        <v>2258</v>
      </c>
      <c r="Q4" s="442" t="s">
        <v>2259</v>
      </c>
      <c r="R4" s="442" t="s">
        <v>2260</v>
      </c>
      <c r="S4" s="361" t="s">
        <v>115</v>
      </c>
      <c r="T4" s="361" t="s">
        <v>2070</v>
      </c>
      <c r="U4" s="481" t="s">
        <v>0</v>
      </c>
      <c r="V4" s="361" t="s">
        <v>2564</v>
      </c>
      <c r="W4" s="361" t="s">
        <v>2711</v>
      </c>
      <c r="X4" s="361" t="s">
        <v>3151</v>
      </c>
    </row>
    <row r="5" spans="1:56" ht="17.5">
      <c r="A5" s="12" t="s">
        <v>1492</v>
      </c>
      <c r="B5" s="10" t="s">
        <v>1492</v>
      </c>
      <c r="C5" s="12">
        <f>'Language 3'!C5</f>
        <v>0</v>
      </c>
      <c r="D5" s="10" t="s">
        <v>1317</v>
      </c>
      <c r="E5" s="12" t="s">
        <v>2090</v>
      </c>
      <c r="F5" s="10" t="s">
        <v>1311</v>
      </c>
      <c r="G5" s="12" t="s">
        <v>144</v>
      </c>
      <c r="H5" s="10" t="s">
        <v>551</v>
      </c>
      <c r="I5" s="444" t="s">
        <v>1890</v>
      </c>
      <c r="J5" s="10" t="s">
        <v>293</v>
      </c>
      <c r="K5" s="444" t="s">
        <v>1982</v>
      </c>
      <c r="L5" s="10" t="s">
        <v>1757</v>
      </c>
      <c r="M5" s="445" t="s">
        <v>2139</v>
      </c>
      <c r="N5" s="10" t="s">
        <v>2199</v>
      </c>
      <c r="O5" s="12" t="s">
        <v>331</v>
      </c>
      <c r="P5" s="446" t="s">
        <v>368</v>
      </c>
      <c r="Q5" s="447" t="s">
        <v>2261</v>
      </c>
      <c r="R5" s="10" t="s">
        <v>2394</v>
      </c>
      <c r="S5" s="12" t="s">
        <v>1034</v>
      </c>
      <c r="T5" s="10" t="s">
        <v>331</v>
      </c>
      <c r="U5" s="833" t="s">
        <v>1</v>
      </c>
      <c r="V5" s="13" t="s">
        <v>2565</v>
      </c>
      <c r="W5" s="448" t="s">
        <v>2712</v>
      </c>
      <c r="X5" s="10" t="s">
        <v>3152</v>
      </c>
    </row>
    <row r="6" spans="1:56" ht="17.5">
      <c r="A6" s="12" t="s">
        <v>1493</v>
      </c>
      <c r="B6" s="10" t="s">
        <v>1493</v>
      </c>
      <c r="C6" s="12">
        <f>'Language 3'!C6</f>
        <v>0</v>
      </c>
      <c r="D6" s="10" t="s">
        <v>1318</v>
      </c>
      <c r="E6" s="12" t="s">
        <v>2091</v>
      </c>
      <c r="F6" s="10" t="s">
        <v>1312</v>
      </c>
      <c r="G6" s="12" t="s">
        <v>145</v>
      </c>
      <c r="H6" s="10" t="s">
        <v>552</v>
      </c>
      <c r="I6" s="444" t="s">
        <v>1891</v>
      </c>
      <c r="J6" s="10" t="s">
        <v>294</v>
      </c>
      <c r="K6" s="444" t="s">
        <v>1983</v>
      </c>
      <c r="L6" s="10" t="s">
        <v>1758</v>
      </c>
      <c r="M6" s="445" t="s">
        <v>2140</v>
      </c>
      <c r="N6" s="10" t="s">
        <v>2200</v>
      </c>
      <c r="O6" s="12" t="s">
        <v>332</v>
      </c>
      <c r="P6" s="450" t="s">
        <v>2003</v>
      </c>
      <c r="Q6" s="451" t="s">
        <v>2262</v>
      </c>
      <c r="R6" s="10" t="s">
        <v>2262</v>
      </c>
      <c r="S6" s="12" t="s">
        <v>70</v>
      </c>
      <c r="T6" s="10" t="s">
        <v>1718</v>
      </c>
      <c r="U6" s="832" t="s">
        <v>3403</v>
      </c>
      <c r="V6" s="10" t="s">
        <v>2566</v>
      </c>
      <c r="W6" s="444" t="s">
        <v>2713</v>
      </c>
      <c r="X6" s="10" t="s">
        <v>3153</v>
      </c>
    </row>
    <row r="7" spans="1:56" ht="25">
      <c r="A7" s="12" t="s">
        <v>1452</v>
      </c>
      <c r="B7" s="10" t="s">
        <v>1452</v>
      </c>
      <c r="C7" s="12">
        <f>'Language 3'!C7</f>
        <v>0</v>
      </c>
      <c r="D7" s="10" t="s">
        <v>1812</v>
      </c>
      <c r="E7" s="12" t="s">
        <v>2092</v>
      </c>
      <c r="F7" s="10" t="s">
        <v>1313</v>
      </c>
      <c r="G7" s="12" t="s">
        <v>146</v>
      </c>
      <c r="H7" s="10" t="s">
        <v>553</v>
      </c>
      <c r="I7" s="444" t="s">
        <v>1892</v>
      </c>
      <c r="J7" s="10" t="s">
        <v>295</v>
      </c>
      <c r="K7" s="444" t="s">
        <v>1984</v>
      </c>
      <c r="L7" s="10" t="s">
        <v>1759</v>
      </c>
      <c r="M7" s="445" t="s">
        <v>2141</v>
      </c>
      <c r="N7" s="10" t="s">
        <v>2201</v>
      </c>
      <c r="O7" s="12" t="s">
        <v>333</v>
      </c>
      <c r="P7" s="450" t="s">
        <v>369</v>
      </c>
      <c r="Q7" s="451" t="s">
        <v>2263</v>
      </c>
      <c r="R7" s="10" t="s">
        <v>2395</v>
      </c>
      <c r="S7" s="12" t="s">
        <v>2114</v>
      </c>
      <c r="T7" s="10" t="s">
        <v>1719</v>
      </c>
      <c r="U7" s="832" t="s">
        <v>3404</v>
      </c>
      <c r="V7" s="10" t="s">
        <v>2567</v>
      </c>
      <c r="W7" s="444" t="s">
        <v>2714</v>
      </c>
      <c r="X7" s="10" t="s">
        <v>3154</v>
      </c>
    </row>
    <row r="8" spans="1:56" ht="17.5">
      <c r="A8" s="12" t="s">
        <v>1494</v>
      </c>
      <c r="B8" s="10" t="s">
        <v>1494</v>
      </c>
      <c r="C8" s="12">
        <f>'Language 3'!C8</f>
        <v>0</v>
      </c>
      <c r="D8" s="10" t="s">
        <v>1813</v>
      </c>
      <c r="E8" s="12" t="s">
        <v>2093</v>
      </c>
      <c r="F8" s="10" t="s">
        <v>1314</v>
      </c>
      <c r="G8" s="12" t="s">
        <v>147</v>
      </c>
      <c r="H8" s="10" t="s">
        <v>554</v>
      </c>
      <c r="I8" s="444" t="s">
        <v>1893</v>
      </c>
      <c r="J8" s="10" t="s">
        <v>296</v>
      </c>
      <c r="K8" s="444" t="s">
        <v>1985</v>
      </c>
      <c r="L8" s="10" t="s">
        <v>1760</v>
      </c>
      <c r="M8" s="445" t="s">
        <v>2142</v>
      </c>
      <c r="N8" s="10" t="s">
        <v>2202</v>
      </c>
      <c r="O8" s="12" t="s">
        <v>334</v>
      </c>
      <c r="P8" s="450" t="s">
        <v>370</v>
      </c>
      <c r="Q8" s="451" t="s">
        <v>2264</v>
      </c>
      <c r="R8" s="10" t="s">
        <v>2396</v>
      </c>
      <c r="S8" s="12" t="s">
        <v>2115</v>
      </c>
      <c r="T8" s="10" t="s">
        <v>334</v>
      </c>
      <c r="U8" s="833" t="s">
        <v>3405</v>
      </c>
      <c r="V8" s="10" t="s">
        <v>2568</v>
      </c>
      <c r="W8" s="444" t="s">
        <v>2715</v>
      </c>
      <c r="X8" s="10" t="s">
        <v>3155</v>
      </c>
    </row>
    <row r="9" spans="1:56" ht="17.5">
      <c r="A9" s="12" t="s">
        <v>1289</v>
      </c>
      <c r="B9" s="10" t="s">
        <v>1289</v>
      </c>
      <c r="C9" s="12">
        <f>'Language 3'!C9</f>
        <v>0</v>
      </c>
      <c r="D9" s="10" t="s">
        <v>1814</v>
      </c>
      <c r="E9" s="12" t="s">
        <v>1290</v>
      </c>
      <c r="F9" s="10" t="s">
        <v>2537</v>
      </c>
      <c r="G9" s="12" t="s">
        <v>148</v>
      </c>
      <c r="H9" s="10" t="s">
        <v>555</v>
      </c>
      <c r="I9" s="444" t="s">
        <v>1894</v>
      </c>
      <c r="J9" s="10" t="s">
        <v>297</v>
      </c>
      <c r="K9" s="444" t="s">
        <v>1986</v>
      </c>
      <c r="L9" s="10" t="s">
        <v>811</v>
      </c>
      <c r="M9" s="445" t="s">
        <v>2143</v>
      </c>
      <c r="N9" s="10" t="s">
        <v>2203</v>
      </c>
      <c r="O9" s="12" t="s">
        <v>335</v>
      </c>
      <c r="P9" s="450" t="s">
        <v>371</v>
      </c>
      <c r="Q9" s="451" t="s">
        <v>371</v>
      </c>
      <c r="R9" s="10" t="s">
        <v>2397</v>
      </c>
      <c r="S9" s="12" t="s">
        <v>2116</v>
      </c>
      <c r="T9" s="10" t="s">
        <v>335</v>
      </c>
      <c r="U9" s="833" t="s">
        <v>2</v>
      </c>
      <c r="V9" s="10" t="s">
        <v>2569</v>
      </c>
      <c r="W9" s="444" t="s">
        <v>2716</v>
      </c>
      <c r="X9" s="10" t="s">
        <v>3156</v>
      </c>
    </row>
    <row r="10" spans="1:56" ht="25">
      <c r="A10" s="12" t="s">
        <v>1232</v>
      </c>
      <c r="B10" s="10" t="s">
        <v>1232</v>
      </c>
      <c r="C10" s="12">
        <f>'Language 3'!C10</f>
        <v>0</v>
      </c>
      <c r="D10" s="10" t="s">
        <v>1815</v>
      </c>
      <c r="E10" s="12" t="s">
        <v>1288</v>
      </c>
      <c r="F10" s="10" t="s">
        <v>2538</v>
      </c>
      <c r="G10" s="12" t="s">
        <v>149</v>
      </c>
      <c r="H10" s="10" t="s">
        <v>556</v>
      </c>
      <c r="I10" s="444" t="s">
        <v>1895</v>
      </c>
      <c r="J10" s="10" t="s">
        <v>298</v>
      </c>
      <c r="K10" s="444" t="s">
        <v>476</v>
      </c>
      <c r="L10" s="10" t="s">
        <v>812</v>
      </c>
      <c r="M10" s="445" t="s">
        <v>1508</v>
      </c>
      <c r="N10" s="10" t="s">
        <v>2204</v>
      </c>
      <c r="O10" s="12" t="s">
        <v>336</v>
      </c>
      <c r="P10" s="450" t="s">
        <v>372</v>
      </c>
      <c r="Q10" s="451" t="s">
        <v>2265</v>
      </c>
      <c r="R10" s="10" t="s">
        <v>2398</v>
      </c>
      <c r="S10" s="12" t="s">
        <v>2117</v>
      </c>
      <c r="T10" s="10" t="s">
        <v>1720</v>
      </c>
      <c r="U10" s="833" t="s">
        <v>3406</v>
      </c>
      <c r="V10" s="10" t="s">
        <v>2570</v>
      </c>
      <c r="W10" s="444" t="s">
        <v>2717</v>
      </c>
      <c r="X10" s="10" t="s">
        <v>3157</v>
      </c>
    </row>
    <row r="11" spans="1:56" ht="25">
      <c r="A11" s="12" t="s">
        <v>1495</v>
      </c>
      <c r="B11" s="10" t="s">
        <v>1495</v>
      </c>
      <c r="C11" s="12">
        <f>'Language 3'!C11</f>
        <v>0</v>
      </c>
      <c r="D11" s="10" t="s">
        <v>1816</v>
      </c>
      <c r="E11" s="12" t="s">
        <v>2094</v>
      </c>
      <c r="F11" s="10" t="s">
        <v>1315</v>
      </c>
      <c r="G11" s="12" t="s">
        <v>150</v>
      </c>
      <c r="H11" s="10" t="s">
        <v>557</v>
      </c>
      <c r="I11" s="444" t="s">
        <v>1896</v>
      </c>
      <c r="J11" s="10" t="s">
        <v>299</v>
      </c>
      <c r="K11" s="444" t="s">
        <v>1987</v>
      </c>
      <c r="L11" s="10" t="s">
        <v>813</v>
      </c>
      <c r="M11" s="445" t="s">
        <v>2144</v>
      </c>
      <c r="N11" s="10" t="s">
        <v>921</v>
      </c>
      <c r="O11" s="12" t="s">
        <v>337</v>
      </c>
      <c r="P11" s="450" t="s">
        <v>373</v>
      </c>
      <c r="Q11" s="451" t="s">
        <v>2266</v>
      </c>
      <c r="R11" s="10" t="s">
        <v>2399</v>
      </c>
      <c r="S11" s="12" t="s">
        <v>2118</v>
      </c>
      <c r="T11" s="10" t="s">
        <v>1721</v>
      </c>
      <c r="U11" s="833" t="s">
        <v>3407</v>
      </c>
      <c r="V11" s="10" t="s">
        <v>2571</v>
      </c>
      <c r="W11" s="444" t="s">
        <v>2718</v>
      </c>
      <c r="X11" s="10" t="s">
        <v>3158</v>
      </c>
    </row>
    <row r="12" spans="1:56" ht="25">
      <c r="A12" s="12" t="s">
        <v>1496</v>
      </c>
      <c r="B12" s="10" t="s">
        <v>1496</v>
      </c>
      <c r="C12" s="12">
        <f>'Language 3'!C12</f>
        <v>0</v>
      </c>
      <c r="D12" s="10" t="s">
        <v>1817</v>
      </c>
      <c r="E12" s="12" t="s">
        <v>2095</v>
      </c>
      <c r="F12" s="10" t="s">
        <v>1316</v>
      </c>
      <c r="G12" s="12" t="s">
        <v>151</v>
      </c>
      <c r="H12" s="10" t="s">
        <v>558</v>
      </c>
      <c r="I12" s="444" t="s">
        <v>1897</v>
      </c>
      <c r="J12" s="10" t="s">
        <v>300</v>
      </c>
      <c r="K12" s="444" t="s">
        <v>1988</v>
      </c>
      <c r="L12" s="10" t="s">
        <v>814</v>
      </c>
      <c r="M12" s="445" t="s">
        <v>2145</v>
      </c>
      <c r="N12" s="10" t="s">
        <v>922</v>
      </c>
      <c r="O12" s="12" t="s">
        <v>338</v>
      </c>
      <c r="P12" s="450" t="s">
        <v>374</v>
      </c>
      <c r="Q12" s="451" t="s">
        <v>2267</v>
      </c>
      <c r="R12" s="10" t="s">
        <v>2400</v>
      </c>
      <c r="S12" s="12" t="s">
        <v>71</v>
      </c>
      <c r="T12" s="10" t="s">
        <v>1722</v>
      </c>
      <c r="U12" s="833" t="s">
        <v>3408</v>
      </c>
      <c r="V12" s="10" t="s">
        <v>2572</v>
      </c>
      <c r="W12" s="444" t="s">
        <v>2719</v>
      </c>
      <c r="X12" s="10" t="s">
        <v>3159</v>
      </c>
    </row>
    <row r="13" spans="1:56" ht="25">
      <c r="A13" s="12" t="s">
        <v>1773</v>
      </c>
      <c r="B13" s="10" t="s">
        <v>1378</v>
      </c>
      <c r="C13" s="12">
        <f>'Language 3'!C13</f>
        <v>0</v>
      </c>
      <c r="D13" s="10" t="s">
        <v>1818</v>
      </c>
      <c r="E13" s="12" t="s">
        <v>446</v>
      </c>
      <c r="F13" s="10" t="s">
        <v>734</v>
      </c>
      <c r="G13" s="12" t="s">
        <v>152</v>
      </c>
      <c r="H13" s="10" t="s">
        <v>559</v>
      </c>
      <c r="I13" s="444" t="s">
        <v>1898</v>
      </c>
      <c r="J13" s="10" t="s">
        <v>301</v>
      </c>
      <c r="K13" s="444" t="s">
        <v>1989</v>
      </c>
      <c r="L13" s="10" t="s">
        <v>815</v>
      </c>
      <c r="M13" s="445" t="s">
        <v>2146</v>
      </c>
      <c r="N13" s="10" t="s">
        <v>923</v>
      </c>
      <c r="O13" s="12" t="s">
        <v>339</v>
      </c>
      <c r="P13" s="450" t="s">
        <v>2004</v>
      </c>
      <c r="Q13" s="451" t="s">
        <v>2268</v>
      </c>
      <c r="R13" s="10" t="s">
        <v>2401</v>
      </c>
      <c r="S13" s="12" t="s">
        <v>72</v>
      </c>
      <c r="T13" s="10" t="s">
        <v>1723</v>
      </c>
      <c r="U13" s="833" t="s">
        <v>3409</v>
      </c>
      <c r="V13" s="10" t="s">
        <v>2573</v>
      </c>
      <c r="W13" s="444" t="s">
        <v>2720</v>
      </c>
      <c r="X13" s="10" t="s">
        <v>3160</v>
      </c>
    </row>
    <row r="14" spans="1:56" ht="50">
      <c r="A14" s="12" t="s">
        <v>1437</v>
      </c>
      <c r="B14" s="10" t="s">
        <v>1437</v>
      </c>
      <c r="C14" s="12">
        <f>'Language 3'!C14</f>
        <v>0</v>
      </c>
      <c r="D14" s="10" t="s">
        <v>1385</v>
      </c>
      <c r="E14" s="12" t="s">
        <v>2096</v>
      </c>
      <c r="F14" s="10" t="s">
        <v>704</v>
      </c>
      <c r="G14" s="452" t="s">
        <v>690</v>
      </c>
      <c r="H14" s="10" t="s">
        <v>560</v>
      </c>
      <c r="I14" s="444" t="s">
        <v>1899</v>
      </c>
      <c r="J14" s="10" t="s">
        <v>302</v>
      </c>
      <c r="K14" s="444" t="s">
        <v>1990</v>
      </c>
      <c r="L14" s="10" t="s">
        <v>816</v>
      </c>
      <c r="M14" s="445" t="s">
        <v>2147</v>
      </c>
      <c r="N14" s="10" t="s">
        <v>924</v>
      </c>
      <c r="O14" s="12" t="s">
        <v>340</v>
      </c>
      <c r="P14" s="450" t="s">
        <v>375</v>
      </c>
      <c r="Q14" s="451" t="s">
        <v>2269</v>
      </c>
      <c r="R14" s="10" t="s">
        <v>2402</v>
      </c>
      <c r="S14" s="12" t="s">
        <v>77</v>
      </c>
      <c r="T14" s="10" t="s">
        <v>1724</v>
      </c>
      <c r="U14" s="833" t="s">
        <v>3410</v>
      </c>
      <c r="V14" s="10" t="s">
        <v>2574</v>
      </c>
      <c r="W14" s="444" t="s">
        <v>2721</v>
      </c>
      <c r="X14" s="10" t="s">
        <v>3161</v>
      </c>
    </row>
    <row r="15" spans="1:56" ht="35">
      <c r="A15" s="12" t="s">
        <v>1497</v>
      </c>
      <c r="B15" s="10" t="s">
        <v>1497</v>
      </c>
      <c r="C15" s="12" t="s">
        <v>1497</v>
      </c>
      <c r="D15" s="10" t="s">
        <v>1364</v>
      </c>
      <c r="E15" s="12" t="s">
        <v>1365</v>
      </c>
      <c r="F15" s="10" t="s">
        <v>1366</v>
      </c>
      <c r="G15" s="12" t="s">
        <v>1367</v>
      </c>
      <c r="H15" s="10" t="s">
        <v>1368</v>
      </c>
      <c r="I15" s="453" t="s">
        <v>3134</v>
      </c>
      <c r="J15" s="10" t="s">
        <v>1177</v>
      </c>
      <c r="K15" s="444" t="s">
        <v>1889</v>
      </c>
      <c r="L15" s="10" t="s">
        <v>2137</v>
      </c>
      <c r="M15" s="445" t="s">
        <v>1061</v>
      </c>
      <c r="N15" s="10" t="s">
        <v>1972</v>
      </c>
      <c r="O15" s="12" t="s">
        <v>603</v>
      </c>
      <c r="P15" s="454" t="s">
        <v>2005</v>
      </c>
      <c r="Q15" s="451" t="s">
        <v>2270</v>
      </c>
      <c r="R15" s="10" t="s">
        <v>2403</v>
      </c>
      <c r="S15" s="12" t="s">
        <v>1704</v>
      </c>
      <c r="T15" s="10" t="s">
        <v>1497</v>
      </c>
      <c r="U15" s="833" t="s">
        <v>2563</v>
      </c>
      <c r="V15" s="10" t="s">
        <v>1497</v>
      </c>
      <c r="W15" s="444" t="s">
        <v>1497</v>
      </c>
      <c r="X15" s="10" t="s">
        <v>1497</v>
      </c>
    </row>
    <row r="16" spans="1:56" s="455" customFormat="1" ht="25">
      <c r="A16" s="12" t="s">
        <v>1232</v>
      </c>
      <c r="B16" s="10" t="s">
        <v>1232</v>
      </c>
      <c r="C16" s="12">
        <f>'Language 3'!C16</f>
        <v>0</v>
      </c>
      <c r="D16" s="10" t="s">
        <v>1815</v>
      </c>
      <c r="E16" s="12" t="s">
        <v>1288</v>
      </c>
      <c r="F16" s="10" t="s">
        <v>2538</v>
      </c>
      <c r="G16" s="12" t="s">
        <v>149</v>
      </c>
      <c r="H16" s="10" t="s">
        <v>556</v>
      </c>
      <c r="I16" s="444" t="s">
        <v>1895</v>
      </c>
      <c r="J16" s="10" t="s">
        <v>298</v>
      </c>
      <c r="K16" s="444" t="s">
        <v>476</v>
      </c>
      <c r="L16" s="10" t="s">
        <v>812</v>
      </c>
      <c r="M16" s="445" t="s">
        <v>1508</v>
      </c>
      <c r="N16" s="10" t="s">
        <v>2204</v>
      </c>
      <c r="O16" s="12" t="s">
        <v>336</v>
      </c>
      <c r="P16" s="450" t="s">
        <v>376</v>
      </c>
      <c r="Q16" s="451" t="s">
        <v>2265</v>
      </c>
      <c r="R16" s="10" t="s">
        <v>2398</v>
      </c>
      <c r="S16" s="12" t="s">
        <v>2117</v>
      </c>
      <c r="T16" s="10" t="s">
        <v>1720</v>
      </c>
      <c r="U16" s="833" t="s">
        <v>3406</v>
      </c>
      <c r="V16" s="10" t="s">
        <v>2570</v>
      </c>
      <c r="W16" s="444" t="s">
        <v>2717</v>
      </c>
      <c r="X16" s="10" t="s">
        <v>3157</v>
      </c>
      <c r="Y16" s="449"/>
      <c r="Z16" s="449"/>
      <c r="AA16" s="449"/>
      <c r="AB16" s="449"/>
      <c r="AC16" s="449"/>
      <c r="AD16" s="449"/>
      <c r="AE16" s="449"/>
      <c r="AF16" s="449"/>
      <c r="AG16" s="449"/>
      <c r="AH16" s="449"/>
      <c r="AI16" s="449"/>
      <c r="AJ16" s="449"/>
      <c r="AK16" s="449"/>
      <c r="AL16" s="449"/>
      <c r="AM16" s="449"/>
      <c r="AN16" s="449"/>
      <c r="AO16" s="449"/>
      <c r="AP16" s="449"/>
      <c r="AQ16" s="449"/>
      <c r="AR16" s="449"/>
      <c r="AS16" s="449"/>
      <c r="AT16" s="449"/>
      <c r="AU16" s="449"/>
      <c r="AV16" s="449"/>
      <c r="AW16" s="449"/>
      <c r="AX16" s="449"/>
      <c r="AY16" s="449"/>
      <c r="AZ16" s="449"/>
      <c r="BA16" s="449"/>
      <c r="BB16" s="449"/>
      <c r="BC16" s="449"/>
      <c r="BD16" s="449"/>
    </row>
    <row r="17" spans="1:24" ht="25">
      <c r="A17" s="12" t="s">
        <v>1774</v>
      </c>
      <c r="B17" s="10" t="s">
        <v>1444</v>
      </c>
      <c r="C17" s="12">
        <f>'Language 3'!C17</f>
        <v>0</v>
      </c>
      <c r="D17" s="10" t="s">
        <v>1386</v>
      </c>
      <c r="E17" s="12" t="s">
        <v>2097</v>
      </c>
      <c r="F17" s="10" t="s">
        <v>735</v>
      </c>
      <c r="G17" s="12" t="s">
        <v>153</v>
      </c>
      <c r="H17" s="10" t="s">
        <v>561</v>
      </c>
      <c r="I17" s="444" t="s">
        <v>1991</v>
      </c>
      <c r="J17" s="10" t="s">
        <v>303</v>
      </c>
      <c r="K17" s="444" t="s">
        <v>1991</v>
      </c>
      <c r="L17" s="10" t="s">
        <v>817</v>
      </c>
      <c r="M17" s="445" t="s">
        <v>2148</v>
      </c>
      <c r="N17" s="10" t="s">
        <v>925</v>
      </c>
      <c r="O17" s="12" t="s">
        <v>341</v>
      </c>
      <c r="P17" s="454" t="s">
        <v>2006</v>
      </c>
      <c r="Q17" s="451" t="s">
        <v>2271</v>
      </c>
      <c r="R17" s="10" t="s">
        <v>2404</v>
      </c>
      <c r="S17" s="12" t="s">
        <v>2119</v>
      </c>
      <c r="T17" s="10" t="s">
        <v>1725</v>
      </c>
      <c r="U17" s="833" t="s">
        <v>3411</v>
      </c>
      <c r="V17" s="10" t="s">
        <v>2575</v>
      </c>
      <c r="W17" s="444" t="s">
        <v>2722</v>
      </c>
      <c r="X17" s="10" t="s">
        <v>3162</v>
      </c>
    </row>
    <row r="18" spans="1:24" ht="17.5">
      <c r="A18" s="12" t="s">
        <v>1447</v>
      </c>
      <c r="B18" s="10" t="s">
        <v>1447</v>
      </c>
      <c r="C18" s="12">
        <f>'Language 3'!C18</f>
        <v>0</v>
      </c>
      <c r="D18" s="10" t="s">
        <v>1387</v>
      </c>
      <c r="E18" s="12" t="s">
        <v>2098</v>
      </c>
      <c r="F18" s="10" t="s">
        <v>705</v>
      </c>
      <c r="G18" s="12" t="s">
        <v>154</v>
      </c>
      <c r="H18" s="10" t="s">
        <v>562</v>
      </c>
      <c r="I18" s="444" t="s">
        <v>2207</v>
      </c>
      <c r="J18" s="10" t="s">
        <v>304</v>
      </c>
      <c r="K18" s="444" t="s">
        <v>1992</v>
      </c>
      <c r="L18" s="10" t="s">
        <v>818</v>
      </c>
      <c r="M18" s="445" t="s">
        <v>2149</v>
      </c>
      <c r="N18" s="10" t="s">
        <v>926</v>
      </c>
      <c r="O18" s="12" t="s">
        <v>342</v>
      </c>
      <c r="P18" s="450" t="s">
        <v>377</v>
      </c>
      <c r="Q18" s="451" t="s">
        <v>2272</v>
      </c>
      <c r="R18" s="10" t="s">
        <v>2405</v>
      </c>
      <c r="S18" s="12" t="s">
        <v>2120</v>
      </c>
      <c r="T18" s="10" t="s">
        <v>342</v>
      </c>
      <c r="U18" s="833" t="s">
        <v>3412</v>
      </c>
      <c r="V18" s="10" t="s">
        <v>2576</v>
      </c>
      <c r="W18" s="444" t="s">
        <v>2723</v>
      </c>
      <c r="X18" s="10" t="s">
        <v>3163</v>
      </c>
    </row>
    <row r="19" spans="1:24" ht="35">
      <c r="A19" s="12" t="s">
        <v>1775</v>
      </c>
      <c r="B19" s="10" t="s">
        <v>1443</v>
      </c>
      <c r="C19" s="12">
        <f>'Language 3'!C19</f>
        <v>0</v>
      </c>
      <c r="D19" s="10" t="s">
        <v>1388</v>
      </c>
      <c r="E19" s="12" t="s">
        <v>2094</v>
      </c>
      <c r="F19" s="10" t="s">
        <v>736</v>
      </c>
      <c r="G19" s="12" t="s">
        <v>155</v>
      </c>
      <c r="H19" s="10" t="s">
        <v>1910</v>
      </c>
      <c r="I19" s="444" t="s">
        <v>2208</v>
      </c>
      <c r="J19" s="10" t="s">
        <v>305</v>
      </c>
      <c r="K19" s="444" t="s">
        <v>1993</v>
      </c>
      <c r="L19" s="10" t="s">
        <v>813</v>
      </c>
      <c r="M19" s="445" t="s">
        <v>2150</v>
      </c>
      <c r="N19" s="10" t="s">
        <v>927</v>
      </c>
      <c r="O19" s="12" t="s">
        <v>343</v>
      </c>
      <c r="P19" s="454" t="s">
        <v>2007</v>
      </c>
      <c r="Q19" s="451" t="s">
        <v>2273</v>
      </c>
      <c r="R19" s="10" t="s">
        <v>2406</v>
      </c>
      <c r="S19" s="12" t="s">
        <v>2121</v>
      </c>
      <c r="T19" s="10" t="s">
        <v>1726</v>
      </c>
      <c r="U19" s="833" t="s">
        <v>3413</v>
      </c>
      <c r="V19" s="10" t="s">
        <v>2577</v>
      </c>
      <c r="W19" s="444" t="s">
        <v>2724</v>
      </c>
      <c r="X19" s="10" t="s">
        <v>3164</v>
      </c>
    </row>
    <row r="20" spans="1:24" ht="35">
      <c r="A20" s="12" t="s">
        <v>1776</v>
      </c>
      <c r="B20" s="10" t="s">
        <v>1445</v>
      </c>
      <c r="C20" s="12">
        <f>'Language 3'!C20</f>
        <v>0</v>
      </c>
      <c r="D20" s="10" t="s">
        <v>1389</v>
      </c>
      <c r="E20" s="12" t="s">
        <v>2095</v>
      </c>
      <c r="F20" s="10" t="s">
        <v>737</v>
      </c>
      <c r="G20" s="12" t="s">
        <v>156</v>
      </c>
      <c r="H20" s="10" t="s">
        <v>1911</v>
      </c>
      <c r="I20" s="444" t="s">
        <v>2209</v>
      </c>
      <c r="J20" s="10" t="s">
        <v>306</v>
      </c>
      <c r="K20" s="444" t="s">
        <v>1454</v>
      </c>
      <c r="L20" s="10" t="s">
        <v>814</v>
      </c>
      <c r="M20" s="445" t="s">
        <v>2151</v>
      </c>
      <c r="N20" s="10" t="s">
        <v>928</v>
      </c>
      <c r="O20" s="12" t="s">
        <v>344</v>
      </c>
      <c r="P20" s="454" t="s">
        <v>2008</v>
      </c>
      <c r="Q20" s="451" t="s">
        <v>2274</v>
      </c>
      <c r="R20" s="10" t="s">
        <v>2407</v>
      </c>
      <c r="S20" s="12" t="s">
        <v>2122</v>
      </c>
      <c r="T20" s="10" t="s">
        <v>1727</v>
      </c>
      <c r="U20" s="833" t="s">
        <v>3414</v>
      </c>
      <c r="V20" s="10" t="s">
        <v>2578</v>
      </c>
      <c r="W20" s="444" t="s">
        <v>2725</v>
      </c>
      <c r="X20" s="10" t="s">
        <v>3165</v>
      </c>
    </row>
    <row r="21" spans="1:24" ht="25">
      <c r="A21" s="12" t="s">
        <v>1778</v>
      </c>
      <c r="B21" s="10" t="s">
        <v>1448</v>
      </c>
      <c r="C21" s="12">
        <f>'Language 3'!C21</f>
        <v>0</v>
      </c>
      <c r="D21" s="10" t="s">
        <v>1390</v>
      </c>
      <c r="E21" s="12" t="s">
        <v>2099</v>
      </c>
      <c r="F21" s="10" t="s">
        <v>738</v>
      </c>
      <c r="G21" s="12" t="s">
        <v>157</v>
      </c>
      <c r="H21" s="10" t="s">
        <v>1912</v>
      </c>
      <c r="I21" s="444" t="s">
        <v>2210</v>
      </c>
      <c r="J21" s="10" t="s">
        <v>307</v>
      </c>
      <c r="K21" s="444" t="s">
        <v>478</v>
      </c>
      <c r="L21" s="10" t="s">
        <v>819</v>
      </c>
      <c r="M21" s="445" t="s">
        <v>2152</v>
      </c>
      <c r="N21" s="10" t="s">
        <v>929</v>
      </c>
      <c r="O21" s="12" t="s">
        <v>345</v>
      </c>
      <c r="P21" s="450" t="s">
        <v>378</v>
      </c>
      <c r="Q21" s="451" t="s">
        <v>2275</v>
      </c>
      <c r="R21" s="10" t="s">
        <v>2408</v>
      </c>
      <c r="S21" s="12" t="s">
        <v>1031</v>
      </c>
      <c r="T21" s="10" t="s">
        <v>345</v>
      </c>
      <c r="U21" s="833" t="s">
        <v>3415</v>
      </c>
      <c r="V21" s="10" t="s">
        <v>2579</v>
      </c>
      <c r="W21" s="444" t="s">
        <v>2726</v>
      </c>
      <c r="X21" s="10" t="s">
        <v>3166</v>
      </c>
    </row>
    <row r="22" spans="1:24" ht="25">
      <c r="A22" s="12" t="s">
        <v>1777</v>
      </c>
      <c r="B22" s="10" t="s">
        <v>1449</v>
      </c>
      <c r="C22" s="12">
        <f>'Language 3'!C22</f>
        <v>0</v>
      </c>
      <c r="D22" s="10" t="s">
        <v>1391</v>
      </c>
      <c r="E22" s="12" t="s">
        <v>2100</v>
      </c>
      <c r="F22" s="10" t="s">
        <v>739</v>
      </c>
      <c r="G22" s="12" t="s">
        <v>158</v>
      </c>
      <c r="H22" s="10" t="s">
        <v>1913</v>
      </c>
      <c r="I22" s="444" t="s">
        <v>2211</v>
      </c>
      <c r="J22" s="10" t="s">
        <v>308</v>
      </c>
      <c r="K22" s="444" t="s">
        <v>479</v>
      </c>
      <c r="L22" s="10" t="s">
        <v>820</v>
      </c>
      <c r="M22" s="445" t="s">
        <v>2153</v>
      </c>
      <c r="N22" s="10" t="s">
        <v>930</v>
      </c>
      <c r="O22" s="12" t="s">
        <v>346</v>
      </c>
      <c r="P22" s="450" t="s">
        <v>379</v>
      </c>
      <c r="Q22" s="451" t="s">
        <v>2276</v>
      </c>
      <c r="R22" s="10" t="s">
        <v>2409</v>
      </c>
      <c r="S22" s="12" t="s">
        <v>1032</v>
      </c>
      <c r="T22" s="10" t="s">
        <v>346</v>
      </c>
      <c r="U22" s="833" t="s">
        <v>3416</v>
      </c>
      <c r="V22" s="10" t="s">
        <v>2580</v>
      </c>
      <c r="W22" s="444" t="s">
        <v>2727</v>
      </c>
      <c r="X22" s="10" t="s">
        <v>3167</v>
      </c>
    </row>
    <row r="23" spans="1:24" ht="37.5">
      <c r="A23" s="12" t="s">
        <v>2232</v>
      </c>
      <c r="B23" s="10" t="s">
        <v>2232</v>
      </c>
      <c r="C23" s="12">
        <f>'Language 3'!C23</f>
        <v>0</v>
      </c>
      <c r="D23" s="10" t="s">
        <v>1392</v>
      </c>
      <c r="E23" s="12" t="s">
        <v>2103</v>
      </c>
      <c r="F23" s="10" t="s">
        <v>740</v>
      </c>
      <c r="G23" s="12" t="s">
        <v>159</v>
      </c>
      <c r="H23" s="10" t="s">
        <v>1914</v>
      </c>
      <c r="I23" s="444" t="s">
        <v>2212</v>
      </c>
      <c r="J23" s="10" t="s">
        <v>309</v>
      </c>
      <c r="K23" s="444" t="s">
        <v>1455</v>
      </c>
      <c r="L23" s="10" t="s">
        <v>821</v>
      </c>
      <c r="M23" s="445" t="s">
        <v>1509</v>
      </c>
      <c r="N23" s="10" t="s">
        <v>931</v>
      </c>
      <c r="O23" s="12" t="s">
        <v>347</v>
      </c>
      <c r="P23" s="450" t="s">
        <v>380</v>
      </c>
      <c r="Q23" s="451" t="s">
        <v>2277</v>
      </c>
      <c r="R23" s="10" t="s">
        <v>2410</v>
      </c>
      <c r="S23" s="12" t="s">
        <v>73</v>
      </c>
      <c r="T23" s="10" t="s">
        <v>1728</v>
      </c>
      <c r="U23" s="833" t="s">
        <v>3417</v>
      </c>
      <c r="V23" s="10" t="s">
        <v>2581</v>
      </c>
      <c r="W23" s="444" t="s">
        <v>2728</v>
      </c>
      <c r="X23" s="10" t="s">
        <v>3168</v>
      </c>
    </row>
    <row r="24" spans="1:24" ht="37.5">
      <c r="A24" s="12" t="s">
        <v>2233</v>
      </c>
      <c r="B24" s="10" t="s">
        <v>2233</v>
      </c>
      <c r="C24" s="12">
        <f>'Language 3'!C24</f>
        <v>0</v>
      </c>
      <c r="D24" s="10" t="s">
        <v>1393</v>
      </c>
      <c r="E24" s="12" t="s">
        <v>2102</v>
      </c>
      <c r="F24" s="10" t="s">
        <v>2548</v>
      </c>
      <c r="G24" s="12" t="s">
        <v>160</v>
      </c>
      <c r="H24" s="10" t="s">
        <v>1915</v>
      </c>
      <c r="I24" s="444" t="s">
        <v>2213</v>
      </c>
      <c r="J24" s="10" t="s">
        <v>310</v>
      </c>
      <c r="K24" s="444" t="s">
        <v>1456</v>
      </c>
      <c r="L24" s="10" t="s">
        <v>822</v>
      </c>
      <c r="M24" s="445" t="s">
        <v>2154</v>
      </c>
      <c r="N24" s="10" t="s">
        <v>932</v>
      </c>
      <c r="O24" s="12" t="s">
        <v>348</v>
      </c>
      <c r="P24" s="450" t="s">
        <v>381</v>
      </c>
      <c r="Q24" s="451" t="s">
        <v>2278</v>
      </c>
      <c r="R24" s="10" t="s">
        <v>2411</v>
      </c>
      <c r="S24" s="12" t="s">
        <v>74</v>
      </c>
      <c r="T24" s="10" t="s">
        <v>1729</v>
      </c>
      <c r="U24" s="833" t="s">
        <v>3418</v>
      </c>
      <c r="V24" s="10" t="s">
        <v>2582</v>
      </c>
      <c r="W24" s="444" t="s">
        <v>2729</v>
      </c>
      <c r="X24" s="10" t="s">
        <v>3169</v>
      </c>
    </row>
    <row r="25" spans="1:24" ht="37.5">
      <c r="A25" s="12" t="s">
        <v>2234</v>
      </c>
      <c r="B25" s="10" t="s">
        <v>2234</v>
      </c>
      <c r="C25" s="12">
        <f>'Language 3'!C25</f>
        <v>0</v>
      </c>
      <c r="D25" s="10" t="s">
        <v>1394</v>
      </c>
      <c r="E25" s="12" t="s">
        <v>287</v>
      </c>
      <c r="F25" s="10" t="s">
        <v>448</v>
      </c>
      <c r="G25" s="12" t="s">
        <v>161</v>
      </c>
      <c r="H25" s="10" t="s">
        <v>1916</v>
      </c>
      <c r="I25" s="444" t="s">
        <v>2214</v>
      </c>
      <c r="J25" s="10" t="s">
        <v>311</v>
      </c>
      <c r="K25" s="444" t="s">
        <v>1605</v>
      </c>
      <c r="L25" s="10" t="s">
        <v>823</v>
      </c>
      <c r="M25" s="445" t="s">
        <v>2155</v>
      </c>
      <c r="N25" s="10" t="s">
        <v>933</v>
      </c>
      <c r="O25" s="12" t="s">
        <v>349</v>
      </c>
      <c r="P25" s="450" t="s">
        <v>382</v>
      </c>
      <c r="Q25" s="451" t="s">
        <v>2279</v>
      </c>
      <c r="R25" s="10" t="s">
        <v>2412</v>
      </c>
      <c r="S25" s="12" t="s">
        <v>75</v>
      </c>
      <c r="T25" s="10" t="s">
        <v>1730</v>
      </c>
      <c r="U25" s="833" t="s">
        <v>3419</v>
      </c>
      <c r="V25" s="10" t="s">
        <v>2583</v>
      </c>
      <c r="W25" s="444" t="s">
        <v>2730</v>
      </c>
      <c r="X25" s="10" t="s">
        <v>3170</v>
      </c>
    </row>
    <row r="26" spans="1:24" ht="37.5">
      <c r="A26" s="12" t="s">
        <v>1377</v>
      </c>
      <c r="B26" s="10" t="s">
        <v>1377</v>
      </c>
      <c r="C26" s="12">
        <f>'Language 3'!C26</f>
        <v>0</v>
      </c>
      <c r="D26" s="10" t="s">
        <v>1395</v>
      </c>
      <c r="E26" s="12" t="s">
        <v>2101</v>
      </c>
      <c r="F26" s="10" t="s">
        <v>449</v>
      </c>
      <c r="G26" s="12" t="s">
        <v>162</v>
      </c>
      <c r="H26" s="10" t="s">
        <v>1917</v>
      </c>
      <c r="I26" s="444" t="s">
        <v>2215</v>
      </c>
      <c r="J26" s="10" t="s">
        <v>1259</v>
      </c>
      <c r="K26" s="444" t="s">
        <v>1606</v>
      </c>
      <c r="L26" s="10" t="s">
        <v>824</v>
      </c>
      <c r="M26" s="445" t="s">
        <v>1510</v>
      </c>
      <c r="N26" s="10" t="s">
        <v>934</v>
      </c>
      <c r="O26" s="12" t="s">
        <v>350</v>
      </c>
      <c r="P26" s="456" t="s">
        <v>383</v>
      </c>
      <c r="Q26" s="457" t="s">
        <v>2280</v>
      </c>
      <c r="R26" s="10" t="s">
        <v>2413</v>
      </c>
      <c r="S26" s="12" t="s">
        <v>76</v>
      </c>
      <c r="T26" s="10" t="s">
        <v>1731</v>
      </c>
      <c r="U26" s="833" t="s">
        <v>3420</v>
      </c>
      <c r="V26" s="10" t="s">
        <v>2584</v>
      </c>
      <c r="W26" s="444" t="s">
        <v>2731</v>
      </c>
      <c r="X26" s="10" t="s">
        <v>3170</v>
      </c>
    </row>
    <row r="27" spans="1:24" ht="50">
      <c r="A27" s="12" t="s">
        <v>1437</v>
      </c>
      <c r="B27" s="10" t="s">
        <v>1437</v>
      </c>
      <c r="C27" s="12">
        <f>'Language 3'!C27</f>
        <v>0</v>
      </c>
      <c r="D27" s="10" t="s">
        <v>1385</v>
      </c>
      <c r="E27" s="12" t="s">
        <v>2096</v>
      </c>
      <c r="F27" s="10" t="s">
        <v>2539</v>
      </c>
      <c r="G27" s="452" t="s">
        <v>690</v>
      </c>
      <c r="H27" s="10" t="s">
        <v>560</v>
      </c>
      <c r="I27" s="444" t="s">
        <v>1899</v>
      </c>
      <c r="J27" s="10" t="s">
        <v>302</v>
      </c>
      <c r="K27" s="444" t="s">
        <v>1990</v>
      </c>
      <c r="L27" s="10" t="s">
        <v>816</v>
      </c>
      <c r="M27" s="445" t="s">
        <v>2156</v>
      </c>
      <c r="N27" s="10" t="s">
        <v>924</v>
      </c>
      <c r="O27" s="12" t="s">
        <v>340</v>
      </c>
      <c r="P27" s="450" t="s">
        <v>375</v>
      </c>
      <c r="Q27" s="451" t="s">
        <v>2281</v>
      </c>
      <c r="R27" s="10" t="s">
        <v>2414</v>
      </c>
      <c r="S27" s="12" t="s">
        <v>77</v>
      </c>
      <c r="T27" s="10" t="s">
        <v>1724</v>
      </c>
      <c r="U27" s="833" t="s">
        <v>3421</v>
      </c>
      <c r="V27" s="10" t="s">
        <v>2574</v>
      </c>
      <c r="W27" s="444" t="s">
        <v>2732</v>
      </c>
      <c r="X27" s="10" t="s">
        <v>3161</v>
      </c>
    </row>
    <row r="28" spans="1:24" ht="25">
      <c r="A28" s="12" t="s">
        <v>1451</v>
      </c>
      <c r="B28" s="10" t="s">
        <v>1451</v>
      </c>
      <c r="C28" s="12">
        <f>'Language 3'!C28</f>
        <v>0</v>
      </c>
      <c r="D28" s="10" t="s">
        <v>1396</v>
      </c>
      <c r="E28" s="12" t="s">
        <v>2104</v>
      </c>
      <c r="F28" s="10" t="s">
        <v>450</v>
      </c>
      <c r="G28" s="12" t="s">
        <v>163</v>
      </c>
      <c r="H28" s="10" t="s">
        <v>1918</v>
      </c>
      <c r="I28" s="444" t="s">
        <v>2216</v>
      </c>
      <c r="J28" s="10" t="s">
        <v>1260</v>
      </c>
      <c r="K28" s="444" t="s">
        <v>1607</v>
      </c>
      <c r="L28" s="10" t="s">
        <v>768</v>
      </c>
      <c r="M28" s="445" t="s">
        <v>2157</v>
      </c>
      <c r="N28" s="10" t="s">
        <v>572</v>
      </c>
      <c r="O28" s="12" t="s">
        <v>351</v>
      </c>
      <c r="P28" s="454" t="s">
        <v>384</v>
      </c>
      <c r="Q28" s="451" t="s">
        <v>2282</v>
      </c>
      <c r="R28" s="10" t="s">
        <v>2415</v>
      </c>
      <c r="S28" s="12" t="s">
        <v>2123</v>
      </c>
      <c r="T28" s="10" t="s">
        <v>1732</v>
      </c>
      <c r="U28" s="833" t="s">
        <v>3422</v>
      </c>
      <c r="V28" s="10" t="s">
        <v>2585</v>
      </c>
      <c r="W28" s="444" t="s">
        <v>2733</v>
      </c>
      <c r="X28" s="10" t="s">
        <v>3171</v>
      </c>
    </row>
    <row r="29" spans="1:24" ht="25">
      <c r="A29" s="12" t="s">
        <v>1450</v>
      </c>
      <c r="B29" s="10" t="s">
        <v>1450</v>
      </c>
      <c r="C29" s="12">
        <f>'Language 3'!C29</f>
        <v>0</v>
      </c>
      <c r="D29" s="10" t="s">
        <v>1397</v>
      </c>
      <c r="E29" s="12" t="s">
        <v>2105</v>
      </c>
      <c r="F29" s="10" t="s">
        <v>451</v>
      </c>
      <c r="G29" s="12" t="s">
        <v>164</v>
      </c>
      <c r="H29" s="10" t="s">
        <v>1919</v>
      </c>
      <c r="I29" s="444" t="s">
        <v>2217</v>
      </c>
      <c r="J29" s="10" t="s">
        <v>1261</v>
      </c>
      <c r="K29" s="444" t="s">
        <v>1608</v>
      </c>
      <c r="L29" s="10" t="s">
        <v>769</v>
      </c>
      <c r="M29" s="445" t="s">
        <v>2158</v>
      </c>
      <c r="N29" s="10" t="s">
        <v>935</v>
      </c>
      <c r="O29" s="12" t="s">
        <v>352</v>
      </c>
      <c r="P29" s="450" t="s">
        <v>385</v>
      </c>
      <c r="Q29" s="451" t="s">
        <v>2283</v>
      </c>
      <c r="R29" s="10" t="s">
        <v>2416</v>
      </c>
      <c r="S29" s="12" t="s">
        <v>2124</v>
      </c>
      <c r="T29" s="10" t="s">
        <v>1733</v>
      </c>
      <c r="U29" s="833" t="s">
        <v>3423</v>
      </c>
      <c r="V29" s="10" t="s">
        <v>2586</v>
      </c>
      <c r="W29" s="444" t="s">
        <v>2734</v>
      </c>
      <c r="X29" s="10" t="s">
        <v>3172</v>
      </c>
    </row>
    <row r="30" spans="1:24" ht="25">
      <c r="A30" s="12" t="s">
        <v>1446</v>
      </c>
      <c r="B30" s="10" t="s">
        <v>1446</v>
      </c>
      <c r="C30" s="12">
        <f>'Language 3'!C30</f>
        <v>0</v>
      </c>
      <c r="D30" s="10" t="s">
        <v>1398</v>
      </c>
      <c r="E30" s="12" t="s">
        <v>2106</v>
      </c>
      <c r="F30" s="10" t="s">
        <v>452</v>
      </c>
      <c r="G30" s="12" t="s">
        <v>165</v>
      </c>
      <c r="H30" s="10" t="s">
        <v>1920</v>
      </c>
      <c r="I30" s="444" t="s">
        <v>1586</v>
      </c>
      <c r="J30" s="10" t="s">
        <v>810</v>
      </c>
      <c r="K30" s="444" t="s">
        <v>1609</v>
      </c>
      <c r="L30" s="10" t="s">
        <v>770</v>
      </c>
      <c r="M30" s="445" t="s">
        <v>447</v>
      </c>
      <c r="N30" s="10" t="s">
        <v>936</v>
      </c>
      <c r="O30" s="12" t="s">
        <v>353</v>
      </c>
      <c r="P30" s="450" t="s">
        <v>386</v>
      </c>
      <c r="Q30" s="451" t="s">
        <v>2284</v>
      </c>
      <c r="R30" s="10" t="s">
        <v>2417</v>
      </c>
      <c r="S30" s="12" t="s">
        <v>1705</v>
      </c>
      <c r="T30" s="10" t="s">
        <v>1734</v>
      </c>
      <c r="U30" s="833" t="s">
        <v>3424</v>
      </c>
      <c r="V30" s="10" t="s">
        <v>2587</v>
      </c>
      <c r="W30" s="444" t="s">
        <v>2735</v>
      </c>
      <c r="X30" s="10" t="s">
        <v>3173</v>
      </c>
    </row>
    <row r="31" spans="1:24" ht="17.5">
      <c r="A31" s="12" t="s">
        <v>1119</v>
      </c>
      <c r="B31" s="10" t="s">
        <v>1119</v>
      </c>
      <c r="C31" s="12">
        <f>'Language 3'!C31</f>
        <v>0</v>
      </c>
      <c r="D31" s="10" t="s">
        <v>1120</v>
      </c>
      <c r="E31" s="12" t="s">
        <v>1121</v>
      </c>
      <c r="F31" s="10" t="s">
        <v>1122</v>
      </c>
      <c r="G31" s="12" t="s">
        <v>1123</v>
      </c>
      <c r="H31" s="10" t="s">
        <v>1124</v>
      </c>
      <c r="I31" s="444" t="s">
        <v>1125</v>
      </c>
      <c r="J31" s="10" t="s">
        <v>1126</v>
      </c>
      <c r="K31" s="444" t="s">
        <v>1127</v>
      </c>
      <c r="L31" s="10" t="s">
        <v>1128</v>
      </c>
      <c r="M31" s="445" t="s">
        <v>1129</v>
      </c>
      <c r="N31" s="10" t="s">
        <v>1130</v>
      </c>
      <c r="O31" s="12" t="s">
        <v>1735</v>
      </c>
      <c r="P31" s="450" t="s">
        <v>387</v>
      </c>
      <c r="Q31" s="451" t="s">
        <v>1119</v>
      </c>
      <c r="R31" s="10" t="s">
        <v>1119</v>
      </c>
      <c r="S31" s="12" t="s">
        <v>2125</v>
      </c>
      <c r="T31" s="10" t="s">
        <v>1735</v>
      </c>
      <c r="U31" s="833" t="s">
        <v>3</v>
      </c>
      <c r="V31" s="10" t="s">
        <v>2588</v>
      </c>
      <c r="W31" s="444" t="s">
        <v>2736</v>
      </c>
      <c r="X31" s="10" t="s">
        <v>3174</v>
      </c>
    </row>
    <row r="32" spans="1:24" ht="17.5">
      <c r="A32" s="12" t="s">
        <v>796</v>
      </c>
      <c r="B32" s="10" t="s">
        <v>796</v>
      </c>
      <c r="C32" s="12">
        <f>'Language 3'!C32</f>
        <v>0</v>
      </c>
      <c r="D32" s="10" t="s">
        <v>1399</v>
      </c>
      <c r="E32" s="12" t="s">
        <v>2107</v>
      </c>
      <c r="F32" s="10" t="s">
        <v>453</v>
      </c>
      <c r="G32" s="12" t="s">
        <v>166</v>
      </c>
      <c r="H32" s="10" t="s">
        <v>1921</v>
      </c>
      <c r="I32" s="444" t="s">
        <v>2218</v>
      </c>
      <c r="J32" s="10" t="s">
        <v>1262</v>
      </c>
      <c r="K32" s="444" t="s">
        <v>1610</v>
      </c>
      <c r="L32" s="10" t="s">
        <v>771</v>
      </c>
      <c r="M32" s="445" t="s">
        <v>2160</v>
      </c>
      <c r="N32" s="10" t="s">
        <v>937</v>
      </c>
      <c r="O32" s="12" t="s">
        <v>355</v>
      </c>
      <c r="P32" s="458" t="s">
        <v>388</v>
      </c>
      <c r="Q32" s="459" t="s">
        <v>2285</v>
      </c>
      <c r="R32" s="10" t="s">
        <v>2418</v>
      </c>
      <c r="S32" s="12" t="s">
        <v>2126</v>
      </c>
      <c r="T32" s="10" t="s">
        <v>1736</v>
      </c>
      <c r="U32" s="833" t="s">
        <v>4</v>
      </c>
      <c r="V32" s="10" t="s">
        <v>2589</v>
      </c>
      <c r="W32" s="444" t="s">
        <v>2737</v>
      </c>
      <c r="X32" s="10" t="s">
        <v>3175</v>
      </c>
    </row>
    <row r="33" spans="1:24" ht="35">
      <c r="A33" s="12" t="s">
        <v>2224</v>
      </c>
      <c r="B33" s="10" t="s">
        <v>2224</v>
      </c>
      <c r="C33" s="12">
        <f>'Language 3'!C33</f>
        <v>0</v>
      </c>
      <c r="D33" s="10" t="s">
        <v>1400</v>
      </c>
      <c r="E33" s="12" t="s">
        <v>2108</v>
      </c>
      <c r="F33" s="10" t="s">
        <v>68</v>
      </c>
      <c r="G33" s="12" t="s">
        <v>69</v>
      </c>
      <c r="H33" s="10" t="s">
        <v>780</v>
      </c>
      <c r="I33" s="444" t="s">
        <v>1585</v>
      </c>
      <c r="J33" s="10" t="s">
        <v>1422</v>
      </c>
      <c r="K33" s="444" t="s">
        <v>1611</v>
      </c>
      <c r="L33" s="10" t="s">
        <v>772</v>
      </c>
      <c r="M33" s="445" t="s">
        <v>2205</v>
      </c>
      <c r="N33" s="10" t="s">
        <v>573</v>
      </c>
      <c r="O33" s="12" t="s">
        <v>1362</v>
      </c>
      <c r="P33" s="450" t="s">
        <v>389</v>
      </c>
      <c r="Q33" s="451" t="s">
        <v>2286</v>
      </c>
      <c r="R33" s="10" t="s">
        <v>2419</v>
      </c>
      <c r="S33" s="12" t="s">
        <v>78</v>
      </c>
      <c r="T33" s="10" t="s">
        <v>1737</v>
      </c>
      <c r="U33" s="833" t="s">
        <v>3425</v>
      </c>
      <c r="V33" s="10" t="s">
        <v>2590</v>
      </c>
      <c r="W33" s="444" t="s">
        <v>2735</v>
      </c>
      <c r="X33" s="10" t="s">
        <v>3176</v>
      </c>
    </row>
    <row r="34" spans="1:24" ht="17.5">
      <c r="A34" s="12" t="s">
        <v>956</v>
      </c>
      <c r="B34" s="10" t="s">
        <v>956</v>
      </c>
      <c r="C34" s="12">
        <f>'Language 3'!C34</f>
        <v>0</v>
      </c>
      <c r="D34" s="10" t="s">
        <v>1401</v>
      </c>
      <c r="E34" s="12" t="s">
        <v>2109</v>
      </c>
      <c r="F34" s="10" t="s">
        <v>454</v>
      </c>
      <c r="G34" s="12" t="s">
        <v>167</v>
      </c>
      <c r="H34" s="10" t="s">
        <v>1922</v>
      </c>
      <c r="I34" s="444" t="s">
        <v>1612</v>
      </c>
      <c r="J34" s="10" t="s">
        <v>1263</v>
      </c>
      <c r="K34" s="444" t="s">
        <v>1612</v>
      </c>
      <c r="L34" s="10" t="s">
        <v>773</v>
      </c>
      <c r="M34" s="445" t="s">
        <v>741</v>
      </c>
      <c r="N34" s="10" t="s">
        <v>938</v>
      </c>
      <c r="O34" s="12" t="s">
        <v>356</v>
      </c>
      <c r="P34" s="454" t="s">
        <v>2009</v>
      </c>
      <c r="Q34" s="451" t="s">
        <v>2287</v>
      </c>
      <c r="R34" s="10" t="s">
        <v>2287</v>
      </c>
      <c r="S34" s="12" t="s">
        <v>2127</v>
      </c>
      <c r="T34" s="10" t="s">
        <v>356</v>
      </c>
      <c r="U34" s="833" t="s">
        <v>3426</v>
      </c>
      <c r="V34" s="10" t="s">
        <v>2591</v>
      </c>
      <c r="W34" s="444" t="s">
        <v>2738</v>
      </c>
      <c r="X34" s="10" t="s">
        <v>3177</v>
      </c>
    </row>
    <row r="35" spans="1:24" ht="17.5">
      <c r="A35" s="12" t="s">
        <v>957</v>
      </c>
      <c r="B35" s="10" t="s">
        <v>957</v>
      </c>
      <c r="C35" s="12">
        <f>'Language 3'!C35</f>
        <v>0</v>
      </c>
      <c r="D35" s="10" t="s">
        <v>1402</v>
      </c>
      <c r="E35" s="12" t="s">
        <v>2110</v>
      </c>
      <c r="F35" s="10" t="s">
        <v>455</v>
      </c>
      <c r="G35" s="12" t="s">
        <v>168</v>
      </c>
      <c r="H35" s="10" t="s">
        <v>1923</v>
      </c>
      <c r="I35" s="444" t="s">
        <v>1613</v>
      </c>
      <c r="J35" s="10" t="s">
        <v>1264</v>
      </c>
      <c r="K35" s="444" t="s">
        <v>1613</v>
      </c>
      <c r="L35" s="10" t="s">
        <v>774</v>
      </c>
      <c r="M35" s="445" t="s">
        <v>742</v>
      </c>
      <c r="N35" s="10" t="s">
        <v>939</v>
      </c>
      <c r="O35" s="12" t="s">
        <v>357</v>
      </c>
      <c r="P35" s="454" t="s">
        <v>2010</v>
      </c>
      <c r="Q35" s="451" t="s">
        <v>2288</v>
      </c>
      <c r="R35" s="10" t="s">
        <v>2288</v>
      </c>
      <c r="S35" s="12" t="s">
        <v>2128</v>
      </c>
      <c r="T35" s="10" t="s">
        <v>357</v>
      </c>
      <c r="U35" s="833" t="s">
        <v>3427</v>
      </c>
      <c r="V35" s="10" t="s">
        <v>2592</v>
      </c>
      <c r="W35" s="444" t="s">
        <v>2739</v>
      </c>
      <c r="X35" s="10" t="s">
        <v>3178</v>
      </c>
    </row>
    <row r="36" spans="1:24" ht="17.5">
      <c r="A36" s="12" t="s">
        <v>2549</v>
      </c>
      <c r="B36" s="10" t="s">
        <v>2549</v>
      </c>
      <c r="C36" s="12">
        <f>'Language 3'!C36</f>
        <v>0</v>
      </c>
      <c r="D36" s="10" t="s">
        <v>1403</v>
      </c>
      <c r="E36" s="12" t="s">
        <v>2111</v>
      </c>
      <c r="F36" s="10" t="s">
        <v>2540</v>
      </c>
      <c r="G36" s="12" t="s">
        <v>169</v>
      </c>
      <c r="H36" s="10" t="s">
        <v>1924</v>
      </c>
      <c r="I36" s="444" t="s">
        <v>2219</v>
      </c>
      <c r="J36" s="10" t="s">
        <v>1265</v>
      </c>
      <c r="K36" s="444" t="s">
        <v>1614</v>
      </c>
      <c r="L36" s="10" t="s">
        <v>775</v>
      </c>
      <c r="M36" s="445" t="s">
        <v>743</v>
      </c>
      <c r="N36" s="10" t="s">
        <v>940</v>
      </c>
      <c r="O36" s="12" t="s">
        <v>358</v>
      </c>
      <c r="P36" s="450" t="s">
        <v>390</v>
      </c>
      <c r="Q36" s="451" t="s">
        <v>390</v>
      </c>
      <c r="R36" s="10" t="s">
        <v>2420</v>
      </c>
      <c r="S36" s="12" t="s">
        <v>79</v>
      </c>
      <c r="T36" s="10" t="s">
        <v>1738</v>
      </c>
      <c r="U36" s="833" t="s">
        <v>3428</v>
      </c>
      <c r="V36" s="10" t="s">
        <v>2593</v>
      </c>
      <c r="W36" s="444" t="s">
        <v>2740</v>
      </c>
      <c r="X36" s="10" t="s">
        <v>3179</v>
      </c>
    </row>
    <row r="37" spans="1:24" ht="25">
      <c r="A37" s="12" t="s">
        <v>710</v>
      </c>
      <c r="B37" s="10" t="s">
        <v>951</v>
      </c>
      <c r="C37" s="12">
        <f>'Language 3'!C37</f>
        <v>0</v>
      </c>
      <c r="D37" s="10" t="s">
        <v>1404</v>
      </c>
      <c r="E37" s="12" t="s">
        <v>2112</v>
      </c>
      <c r="F37" s="10" t="s">
        <v>456</v>
      </c>
      <c r="G37" s="12" t="s">
        <v>170</v>
      </c>
      <c r="H37" s="10" t="s">
        <v>1925</v>
      </c>
      <c r="I37" s="453" t="s">
        <v>3053</v>
      </c>
      <c r="J37" s="10" t="s">
        <v>1266</v>
      </c>
      <c r="K37" s="444" t="s">
        <v>480</v>
      </c>
      <c r="L37" s="10" t="s">
        <v>776</v>
      </c>
      <c r="M37" s="445" t="s">
        <v>744</v>
      </c>
      <c r="N37" s="10" t="s">
        <v>941</v>
      </c>
      <c r="O37" s="12" t="s">
        <v>359</v>
      </c>
      <c r="P37" s="450" t="s">
        <v>2011</v>
      </c>
      <c r="Q37" s="451" t="s">
        <v>2276</v>
      </c>
      <c r="R37" s="10" t="s">
        <v>2409</v>
      </c>
      <c r="S37" s="12" t="s">
        <v>80</v>
      </c>
      <c r="T37" s="10" t="s">
        <v>1739</v>
      </c>
      <c r="U37" s="833" t="s">
        <v>3429</v>
      </c>
      <c r="V37" s="10" t="s">
        <v>2594</v>
      </c>
      <c r="W37" s="444" t="s">
        <v>2741</v>
      </c>
      <c r="X37" s="10" t="s">
        <v>3180</v>
      </c>
    </row>
    <row r="38" spans="1:24" ht="37.5">
      <c r="A38" s="12" t="s">
        <v>711</v>
      </c>
      <c r="B38" s="10" t="s">
        <v>954</v>
      </c>
      <c r="C38" s="12">
        <f>'Language 3'!C38</f>
        <v>0</v>
      </c>
      <c r="D38" s="10" t="s">
        <v>1405</v>
      </c>
      <c r="E38" s="12" t="s">
        <v>641</v>
      </c>
      <c r="F38" s="10" t="s">
        <v>457</v>
      </c>
      <c r="G38" s="12" t="s">
        <v>171</v>
      </c>
      <c r="H38" s="10" t="s">
        <v>1926</v>
      </c>
      <c r="I38" s="453" t="s">
        <v>3054</v>
      </c>
      <c r="J38" s="10" t="s">
        <v>1267</v>
      </c>
      <c r="K38" s="444" t="s">
        <v>481</v>
      </c>
      <c r="L38" s="10" t="s">
        <v>777</v>
      </c>
      <c r="M38" s="445" t="s">
        <v>745</v>
      </c>
      <c r="N38" s="10" t="s">
        <v>567</v>
      </c>
      <c r="O38" s="12" t="s">
        <v>360</v>
      </c>
      <c r="P38" s="450" t="s">
        <v>2012</v>
      </c>
      <c r="Q38" s="451" t="s">
        <v>2289</v>
      </c>
      <c r="R38" s="10" t="s">
        <v>2421</v>
      </c>
      <c r="S38" s="12" t="s">
        <v>81</v>
      </c>
      <c r="T38" s="10" t="s">
        <v>1740</v>
      </c>
      <c r="U38" s="833" t="s">
        <v>3430</v>
      </c>
      <c r="V38" s="10" t="s">
        <v>2595</v>
      </c>
      <c r="W38" s="444" t="s">
        <v>2742</v>
      </c>
      <c r="X38" s="10" t="s">
        <v>3181</v>
      </c>
    </row>
    <row r="39" spans="1:24" ht="50">
      <c r="A39" s="12" t="s">
        <v>712</v>
      </c>
      <c r="B39" s="10" t="s">
        <v>1500</v>
      </c>
      <c r="C39" s="12">
        <f>'Language 3'!C39</f>
        <v>0</v>
      </c>
      <c r="D39" s="10" t="s">
        <v>1406</v>
      </c>
      <c r="E39" s="12" t="s">
        <v>2113</v>
      </c>
      <c r="F39" s="10" t="s">
        <v>458</v>
      </c>
      <c r="G39" s="12" t="s">
        <v>172</v>
      </c>
      <c r="H39" s="10" t="s">
        <v>1927</v>
      </c>
      <c r="I39" s="453" t="s">
        <v>3055</v>
      </c>
      <c r="J39" s="10" t="s">
        <v>1268</v>
      </c>
      <c r="K39" s="444" t="s">
        <v>482</v>
      </c>
      <c r="L39" s="10" t="s">
        <v>778</v>
      </c>
      <c r="M39" s="445" t="s">
        <v>746</v>
      </c>
      <c r="N39" s="10" t="s">
        <v>568</v>
      </c>
      <c r="O39" s="12" t="s">
        <v>361</v>
      </c>
      <c r="P39" s="450" t="s">
        <v>2013</v>
      </c>
      <c r="Q39" s="451" t="s">
        <v>2290</v>
      </c>
      <c r="R39" s="10" t="s">
        <v>2422</v>
      </c>
      <c r="S39" s="12" t="s">
        <v>82</v>
      </c>
      <c r="T39" s="10" t="s">
        <v>1741</v>
      </c>
      <c r="U39" s="833" t="s">
        <v>3431</v>
      </c>
      <c r="V39" s="10" t="s">
        <v>2596</v>
      </c>
      <c r="W39" s="444" t="s">
        <v>2743</v>
      </c>
      <c r="X39" s="10" t="s">
        <v>3182</v>
      </c>
    </row>
    <row r="40" spans="1:24" ht="25">
      <c r="A40" s="12" t="s">
        <v>1489</v>
      </c>
      <c r="B40" s="10" t="s">
        <v>1489</v>
      </c>
      <c r="C40" s="12">
        <f>'Language 3'!C40</f>
        <v>0</v>
      </c>
      <c r="D40" s="10" t="s">
        <v>1407</v>
      </c>
      <c r="E40" s="12" t="s">
        <v>642</v>
      </c>
      <c r="F40" s="10" t="s">
        <v>459</v>
      </c>
      <c r="G40" s="12" t="s">
        <v>173</v>
      </c>
      <c r="H40" s="10" t="s">
        <v>1928</v>
      </c>
      <c r="I40" s="444" t="s">
        <v>2220</v>
      </c>
      <c r="J40" s="10" t="s">
        <v>1269</v>
      </c>
      <c r="K40" s="444" t="s">
        <v>1615</v>
      </c>
      <c r="L40" s="10" t="s">
        <v>1460</v>
      </c>
      <c r="M40" s="445" t="s">
        <v>747</v>
      </c>
      <c r="N40" s="10" t="s">
        <v>569</v>
      </c>
      <c r="O40" s="12" t="s">
        <v>362</v>
      </c>
      <c r="P40" s="450" t="s">
        <v>391</v>
      </c>
      <c r="Q40" s="451" t="s">
        <v>2291</v>
      </c>
      <c r="R40" s="10" t="s">
        <v>2423</v>
      </c>
      <c r="S40" s="12" t="s">
        <v>996</v>
      </c>
      <c r="T40" s="10" t="s">
        <v>1742</v>
      </c>
      <c r="U40" s="833" t="s">
        <v>3432</v>
      </c>
      <c r="V40" s="10" t="s">
        <v>2597</v>
      </c>
      <c r="W40" s="444" t="s">
        <v>2744</v>
      </c>
      <c r="X40" s="10" t="s">
        <v>3183</v>
      </c>
    </row>
    <row r="41" spans="1:24" ht="25">
      <c r="A41" s="12" t="s">
        <v>1623</v>
      </c>
      <c r="B41" s="10" t="s">
        <v>1623</v>
      </c>
      <c r="C41" s="12">
        <f>'Language 3'!C41</f>
        <v>0</v>
      </c>
      <c r="D41" s="10" t="s">
        <v>1408</v>
      </c>
      <c r="E41" s="12" t="s">
        <v>643</v>
      </c>
      <c r="F41" s="10" t="s">
        <v>460</v>
      </c>
      <c r="G41" s="12" t="s">
        <v>174</v>
      </c>
      <c r="H41" s="10" t="s">
        <v>1929</v>
      </c>
      <c r="I41" s="444" t="s">
        <v>2221</v>
      </c>
      <c r="J41" s="10" t="s">
        <v>1270</v>
      </c>
      <c r="K41" s="444" t="s">
        <v>1616</v>
      </c>
      <c r="L41" s="10" t="s">
        <v>1461</v>
      </c>
      <c r="M41" s="445" t="s">
        <v>748</v>
      </c>
      <c r="N41" s="10" t="s">
        <v>570</v>
      </c>
      <c r="O41" s="12" t="s">
        <v>363</v>
      </c>
      <c r="P41" s="450" t="s">
        <v>392</v>
      </c>
      <c r="Q41" s="451" t="s">
        <v>2292</v>
      </c>
      <c r="R41" s="10" t="s">
        <v>2424</v>
      </c>
      <c r="S41" s="12" t="s">
        <v>2129</v>
      </c>
      <c r="T41" s="10" t="s">
        <v>1743</v>
      </c>
      <c r="U41" s="833" t="s">
        <v>3433</v>
      </c>
      <c r="V41" s="10" t="s">
        <v>2598</v>
      </c>
      <c r="W41" s="444" t="s">
        <v>2745</v>
      </c>
      <c r="X41" s="10" t="s">
        <v>3184</v>
      </c>
    </row>
    <row r="42" spans="1:24" ht="25">
      <c r="A42" s="460" t="s">
        <v>1888</v>
      </c>
      <c r="B42" s="10" t="s">
        <v>1888</v>
      </c>
      <c r="C42" s="12">
        <f>'Language 3'!C42</f>
        <v>0</v>
      </c>
      <c r="D42" s="10" t="s">
        <v>1409</v>
      </c>
      <c r="E42" s="12" t="s">
        <v>1888</v>
      </c>
      <c r="F42" s="10" t="s">
        <v>461</v>
      </c>
      <c r="G42" s="12" t="s">
        <v>175</v>
      </c>
      <c r="H42" s="10" t="s">
        <v>1930</v>
      </c>
      <c r="I42" s="453" t="s">
        <v>3056</v>
      </c>
      <c r="J42" s="10" t="s">
        <v>1271</v>
      </c>
      <c r="K42" s="444" t="s">
        <v>1617</v>
      </c>
      <c r="L42" s="10" t="s">
        <v>1462</v>
      </c>
      <c r="M42" s="445" t="s">
        <v>749</v>
      </c>
      <c r="N42" s="10" t="s">
        <v>571</v>
      </c>
      <c r="O42" s="12" t="s">
        <v>364</v>
      </c>
      <c r="P42" s="450" t="s">
        <v>393</v>
      </c>
      <c r="Q42" s="451" t="s">
        <v>2293</v>
      </c>
      <c r="R42" s="10" t="s">
        <v>2425</v>
      </c>
      <c r="S42" s="12" t="s">
        <v>2130</v>
      </c>
      <c r="T42" s="10" t="s">
        <v>364</v>
      </c>
      <c r="U42" s="833" t="s">
        <v>3434</v>
      </c>
      <c r="V42" s="10" t="s">
        <v>2599</v>
      </c>
      <c r="W42" s="444" t="s">
        <v>2746</v>
      </c>
      <c r="X42" s="10" t="s">
        <v>1888</v>
      </c>
    </row>
    <row r="43" spans="1:24" ht="25">
      <c r="A43" s="460" t="s">
        <v>2944</v>
      </c>
      <c r="B43" s="10" t="s">
        <v>2944</v>
      </c>
      <c r="C43" s="12">
        <f>'Language 3'!C43</f>
        <v>0</v>
      </c>
      <c r="D43" s="10" t="s">
        <v>1410</v>
      </c>
      <c r="E43" s="460" t="s">
        <v>3040</v>
      </c>
      <c r="F43" s="10" t="s">
        <v>462</v>
      </c>
      <c r="G43" s="12" t="s">
        <v>176</v>
      </c>
      <c r="H43" s="10" t="s">
        <v>1931</v>
      </c>
      <c r="I43" s="453" t="s">
        <v>3057</v>
      </c>
      <c r="J43" s="10" t="s">
        <v>1272</v>
      </c>
      <c r="K43" s="444" t="s">
        <v>1618</v>
      </c>
      <c r="L43" s="10" t="s">
        <v>1463</v>
      </c>
      <c r="M43" s="445" t="s">
        <v>750</v>
      </c>
      <c r="N43" s="10" t="s">
        <v>574</v>
      </c>
      <c r="O43" s="12" t="s">
        <v>365</v>
      </c>
      <c r="P43" s="450" t="s">
        <v>394</v>
      </c>
      <c r="Q43" s="451" t="s">
        <v>2294</v>
      </c>
      <c r="R43" s="10" t="s">
        <v>2426</v>
      </c>
      <c r="S43" s="12" t="s">
        <v>997</v>
      </c>
      <c r="T43" s="10" t="s">
        <v>365</v>
      </c>
      <c r="U43" s="833" t="s">
        <v>3435</v>
      </c>
      <c r="V43" s="10" t="s">
        <v>2600</v>
      </c>
      <c r="W43" s="444" t="s">
        <v>2747</v>
      </c>
      <c r="X43" s="10" t="s">
        <v>3185</v>
      </c>
    </row>
    <row r="44" spans="1:24" ht="25">
      <c r="A44" s="12" t="s">
        <v>1453</v>
      </c>
      <c r="B44" s="10" t="s">
        <v>1453</v>
      </c>
      <c r="C44" s="12">
        <f>'Language 3'!C44</f>
        <v>0</v>
      </c>
      <c r="D44" s="10" t="s">
        <v>1938</v>
      </c>
      <c r="E44" s="12" t="s">
        <v>644</v>
      </c>
      <c r="F44" s="10" t="s">
        <v>1643</v>
      </c>
      <c r="G44" s="12" t="s">
        <v>1644</v>
      </c>
      <c r="H44" s="10" t="s">
        <v>1932</v>
      </c>
      <c r="I44" s="444" t="s">
        <v>1423</v>
      </c>
      <c r="J44" s="10" t="s">
        <v>1544</v>
      </c>
      <c r="K44" s="444" t="s">
        <v>1425</v>
      </c>
      <c r="L44" s="10" t="s">
        <v>1464</v>
      </c>
      <c r="M44" s="445" t="s">
        <v>751</v>
      </c>
      <c r="N44" s="10" t="s">
        <v>575</v>
      </c>
      <c r="O44" s="12" t="s">
        <v>366</v>
      </c>
      <c r="P44" s="450" t="s">
        <v>395</v>
      </c>
      <c r="Q44" s="451" t="s">
        <v>2295</v>
      </c>
      <c r="R44" s="10" t="s">
        <v>2427</v>
      </c>
      <c r="S44" s="12" t="s">
        <v>100</v>
      </c>
      <c r="T44" s="10" t="s">
        <v>1744</v>
      </c>
      <c r="U44" s="833" t="s">
        <v>3436</v>
      </c>
      <c r="V44" s="10" t="s">
        <v>2601</v>
      </c>
      <c r="W44" s="444" t="s">
        <v>2748</v>
      </c>
      <c r="X44" s="10" t="s">
        <v>3186</v>
      </c>
    </row>
    <row r="45" spans="1:24" ht="17.5">
      <c r="A45" s="12" t="s">
        <v>792</v>
      </c>
      <c r="B45" s="10" t="s">
        <v>792</v>
      </c>
      <c r="C45" s="12">
        <f>'Language 3'!C45</f>
        <v>0</v>
      </c>
      <c r="D45" s="10" t="s">
        <v>1939</v>
      </c>
      <c r="E45" s="12" t="s">
        <v>645</v>
      </c>
      <c r="F45" s="10" t="s">
        <v>1645</v>
      </c>
      <c r="G45" s="12" t="s">
        <v>1646</v>
      </c>
      <c r="H45" s="10" t="s">
        <v>1933</v>
      </c>
      <c r="I45" s="444" t="s">
        <v>1424</v>
      </c>
      <c r="J45" s="10" t="s">
        <v>1545</v>
      </c>
      <c r="K45" s="444" t="s">
        <v>1426</v>
      </c>
      <c r="L45" s="10" t="s">
        <v>1465</v>
      </c>
      <c r="M45" s="445" t="s">
        <v>752</v>
      </c>
      <c r="N45" s="10" t="s">
        <v>576</v>
      </c>
      <c r="O45" s="12" t="s">
        <v>367</v>
      </c>
      <c r="P45" s="450" t="s">
        <v>396</v>
      </c>
      <c r="Q45" s="451" t="s">
        <v>2296</v>
      </c>
      <c r="R45" s="10" t="s">
        <v>2428</v>
      </c>
      <c r="S45" s="12" t="s">
        <v>101</v>
      </c>
      <c r="T45" s="10" t="s">
        <v>1745</v>
      </c>
      <c r="U45" s="833" t="s">
        <v>5</v>
      </c>
      <c r="V45" s="10" t="s">
        <v>2602</v>
      </c>
      <c r="W45" s="444" t="s">
        <v>2749</v>
      </c>
      <c r="X45" s="10" t="s">
        <v>3187</v>
      </c>
    </row>
    <row r="46" spans="1:24" ht="50">
      <c r="A46" s="12" t="s">
        <v>1131</v>
      </c>
      <c r="B46" s="10" t="s">
        <v>1133</v>
      </c>
      <c r="C46" s="12">
        <f>'Language 3'!C46</f>
        <v>0</v>
      </c>
      <c r="D46" s="10" t="s">
        <v>1940</v>
      </c>
      <c r="E46" s="12" t="s">
        <v>179</v>
      </c>
      <c r="F46" s="10" t="s">
        <v>181</v>
      </c>
      <c r="G46" s="12" t="s">
        <v>718</v>
      </c>
      <c r="H46" s="10" t="s">
        <v>720</v>
      </c>
      <c r="I46" s="444" t="s">
        <v>722</v>
      </c>
      <c r="J46" s="10" t="s">
        <v>724</v>
      </c>
      <c r="K46" s="444" t="s">
        <v>483</v>
      </c>
      <c r="L46" s="10" t="s">
        <v>726</v>
      </c>
      <c r="M46" s="445" t="s">
        <v>728</v>
      </c>
      <c r="N46" s="10" t="s">
        <v>730</v>
      </c>
      <c r="O46" s="12" t="s">
        <v>682</v>
      </c>
      <c r="P46" s="450" t="s">
        <v>2014</v>
      </c>
      <c r="Q46" s="451" t="s">
        <v>2297</v>
      </c>
      <c r="R46" s="10" t="s">
        <v>2429</v>
      </c>
      <c r="S46" s="12" t="s">
        <v>84</v>
      </c>
      <c r="T46" s="10" t="s">
        <v>1746</v>
      </c>
      <c r="U46" s="833" t="s">
        <v>3437</v>
      </c>
      <c r="V46" s="10" t="s">
        <v>2603</v>
      </c>
      <c r="W46" s="444" t="s">
        <v>2750</v>
      </c>
      <c r="X46" s="10" t="s">
        <v>3188</v>
      </c>
    </row>
    <row r="47" spans="1:24" ht="52.5">
      <c r="A47" s="12" t="s">
        <v>1132</v>
      </c>
      <c r="B47" s="10" t="s">
        <v>178</v>
      </c>
      <c r="C47" s="12">
        <f>'Language 3'!C47</f>
        <v>0</v>
      </c>
      <c r="D47" s="10" t="s">
        <v>1941</v>
      </c>
      <c r="E47" s="12" t="s">
        <v>180</v>
      </c>
      <c r="F47" s="10" t="s">
        <v>182</v>
      </c>
      <c r="G47" s="12" t="s">
        <v>719</v>
      </c>
      <c r="H47" s="10" t="s">
        <v>721</v>
      </c>
      <c r="I47" s="453" t="s">
        <v>723</v>
      </c>
      <c r="J47" s="10" t="s">
        <v>725</v>
      </c>
      <c r="K47" s="444" t="s">
        <v>484</v>
      </c>
      <c r="L47" s="10" t="s">
        <v>727</v>
      </c>
      <c r="M47" s="445" t="s">
        <v>729</v>
      </c>
      <c r="N47" s="10" t="s">
        <v>731</v>
      </c>
      <c r="O47" s="12" t="s">
        <v>683</v>
      </c>
      <c r="P47" s="450" t="s">
        <v>2015</v>
      </c>
      <c r="Q47" s="451" t="s">
        <v>2298</v>
      </c>
      <c r="R47" s="10" t="s">
        <v>2430</v>
      </c>
      <c r="S47" s="12" t="s">
        <v>83</v>
      </c>
      <c r="T47" s="10" t="s">
        <v>1747</v>
      </c>
      <c r="U47" s="833" t="s">
        <v>3438</v>
      </c>
      <c r="V47" s="10" t="s">
        <v>2604</v>
      </c>
      <c r="W47" s="444" t="s">
        <v>2751</v>
      </c>
      <c r="X47" s="10" t="s">
        <v>3189</v>
      </c>
    </row>
    <row r="48" spans="1:24" ht="139.5" customHeight="1">
      <c r="A48" s="12" t="s">
        <v>140</v>
      </c>
      <c r="B48" s="10" t="s">
        <v>141</v>
      </c>
      <c r="C48" s="12">
        <f>'Language 3'!C48</f>
        <v>0</v>
      </c>
      <c r="D48" s="10" t="s">
        <v>733</v>
      </c>
      <c r="E48" s="12" t="s">
        <v>646</v>
      </c>
      <c r="F48" s="10" t="s">
        <v>2541</v>
      </c>
      <c r="G48" s="12" t="s">
        <v>1201</v>
      </c>
      <c r="H48" s="10" t="s">
        <v>1622</v>
      </c>
      <c r="I48" s="453" t="s">
        <v>3058</v>
      </c>
      <c r="J48" s="10" t="s">
        <v>806</v>
      </c>
      <c r="K48" s="444" t="s">
        <v>1619</v>
      </c>
      <c r="L48" s="10" t="s">
        <v>1466</v>
      </c>
      <c r="M48" s="445" t="s">
        <v>1254</v>
      </c>
      <c r="N48" s="10" t="s">
        <v>577</v>
      </c>
      <c r="O48" s="12" t="s">
        <v>229</v>
      </c>
      <c r="P48" s="450" t="s">
        <v>397</v>
      </c>
      <c r="Q48" s="451" t="s">
        <v>2299</v>
      </c>
      <c r="R48" s="10" t="s">
        <v>2431</v>
      </c>
      <c r="S48" s="12" t="s">
        <v>85</v>
      </c>
      <c r="T48" s="10" t="s">
        <v>1792</v>
      </c>
      <c r="U48" s="833" t="s">
        <v>3439</v>
      </c>
      <c r="V48" s="10" t="s">
        <v>2605</v>
      </c>
      <c r="W48" s="453" t="s">
        <v>2853</v>
      </c>
      <c r="X48" s="10" t="s">
        <v>3190</v>
      </c>
    </row>
    <row r="49" spans="1:24" ht="37.5">
      <c r="A49" s="12" t="s">
        <v>713</v>
      </c>
      <c r="B49" s="10" t="s">
        <v>1501</v>
      </c>
      <c r="C49" s="12">
        <f>'Language 3'!C49</f>
        <v>0</v>
      </c>
      <c r="D49" s="10" t="s">
        <v>1942</v>
      </c>
      <c r="E49" s="12" t="s">
        <v>647</v>
      </c>
      <c r="F49" s="10" t="s">
        <v>883</v>
      </c>
      <c r="G49" s="12" t="s">
        <v>1202</v>
      </c>
      <c r="H49" s="10" t="s">
        <v>1178</v>
      </c>
      <c r="I49" s="444" t="s">
        <v>1553</v>
      </c>
      <c r="J49" s="10" t="s">
        <v>1273</v>
      </c>
      <c r="K49" s="444" t="s">
        <v>1620</v>
      </c>
      <c r="L49" s="10" t="s">
        <v>1467</v>
      </c>
      <c r="M49" s="461" t="s">
        <v>1973</v>
      </c>
      <c r="N49" s="10" t="s">
        <v>578</v>
      </c>
      <c r="O49" s="12" t="s">
        <v>230</v>
      </c>
      <c r="P49" s="454" t="s">
        <v>2016</v>
      </c>
      <c r="Q49" s="451" t="s">
        <v>2300</v>
      </c>
      <c r="R49" s="10" t="s">
        <v>2432</v>
      </c>
      <c r="S49" s="12" t="s">
        <v>130</v>
      </c>
      <c r="T49" s="10" t="s">
        <v>274</v>
      </c>
      <c r="U49" s="833" t="s">
        <v>3440</v>
      </c>
      <c r="V49" s="10" t="s">
        <v>2606</v>
      </c>
      <c r="W49" s="444" t="s">
        <v>2752</v>
      </c>
      <c r="X49" s="10" t="s">
        <v>3191</v>
      </c>
    </row>
    <row r="50" spans="1:24" ht="36">
      <c r="A50" s="12" t="s">
        <v>955</v>
      </c>
      <c r="B50" s="10" t="s">
        <v>955</v>
      </c>
      <c r="C50" s="12">
        <f>'Language 3'!C50</f>
        <v>0</v>
      </c>
      <c r="D50" s="10" t="s">
        <v>1943</v>
      </c>
      <c r="E50" s="12" t="s">
        <v>955</v>
      </c>
      <c r="F50" s="10" t="s">
        <v>463</v>
      </c>
      <c r="G50" s="12" t="s">
        <v>1203</v>
      </c>
      <c r="H50" s="10" t="s">
        <v>1179</v>
      </c>
      <c r="I50" s="453" t="s">
        <v>1554</v>
      </c>
      <c r="J50" s="10" t="s">
        <v>1274</v>
      </c>
      <c r="K50" s="444" t="s">
        <v>1621</v>
      </c>
      <c r="L50" s="10" t="s">
        <v>1468</v>
      </c>
      <c r="M50" s="461" t="s">
        <v>1974</v>
      </c>
      <c r="N50" s="10" t="s">
        <v>579</v>
      </c>
      <c r="O50" s="12" t="s">
        <v>231</v>
      </c>
      <c r="P50" s="454" t="s">
        <v>2017</v>
      </c>
      <c r="Q50" s="451" t="s">
        <v>2301</v>
      </c>
      <c r="R50" s="10" t="s">
        <v>2433</v>
      </c>
      <c r="S50" s="12" t="s">
        <v>86</v>
      </c>
      <c r="T50" s="10" t="s">
        <v>1793</v>
      </c>
      <c r="U50" s="833" t="s">
        <v>3441</v>
      </c>
      <c r="V50" s="10" t="s">
        <v>2607</v>
      </c>
      <c r="W50" s="444" t="s">
        <v>2753</v>
      </c>
      <c r="X50" s="10" t="s">
        <v>3192</v>
      </c>
    </row>
    <row r="51" spans="1:24" ht="52.5">
      <c r="A51" s="12" t="s">
        <v>717</v>
      </c>
      <c r="B51" s="10" t="s">
        <v>958</v>
      </c>
      <c r="C51" s="12">
        <f>'Language 3'!C51</f>
        <v>0</v>
      </c>
      <c r="D51" s="10" t="s">
        <v>1944</v>
      </c>
      <c r="E51" s="12" t="s">
        <v>648</v>
      </c>
      <c r="F51" s="10" t="s">
        <v>464</v>
      </c>
      <c r="G51" s="12" t="s">
        <v>1204</v>
      </c>
      <c r="H51" s="10" t="s">
        <v>1180</v>
      </c>
      <c r="I51" s="444" t="s">
        <v>1555</v>
      </c>
      <c r="J51" s="10" t="s">
        <v>114</v>
      </c>
      <c r="K51" s="444" t="s">
        <v>2131</v>
      </c>
      <c r="L51" s="10" t="s">
        <v>1469</v>
      </c>
      <c r="M51" s="445" t="s">
        <v>1975</v>
      </c>
      <c r="N51" s="10" t="s">
        <v>580</v>
      </c>
      <c r="O51" s="12" t="s">
        <v>232</v>
      </c>
      <c r="P51" s="454" t="s">
        <v>2018</v>
      </c>
      <c r="Q51" s="451" t="s">
        <v>2302</v>
      </c>
      <c r="R51" s="10" t="s">
        <v>2434</v>
      </c>
      <c r="S51" s="12" t="s">
        <v>1030</v>
      </c>
      <c r="T51" s="10" t="s">
        <v>1794</v>
      </c>
      <c r="U51" s="833" t="s">
        <v>3442</v>
      </c>
      <c r="V51" s="10" t="s">
        <v>2608</v>
      </c>
      <c r="W51" s="444" t="s">
        <v>2754</v>
      </c>
      <c r="X51" s="10" t="s">
        <v>3193</v>
      </c>
    </row>
    <row r="52" spans="1:24" ht="52.5">
      <c r="A52" s="12" t="s">
        <v>1502</v>
      </c>
      <c r="B52" s="10" t="s">
        <v>1502</v>
      </c>
      <c r="C52" s="12">
        <f>'Language 3'!C52</f>
        <v>0</v>
      </c>
      <c r="D52" s="10" t="s">
        <v>1945</v>
      </c>
      <c r="E52" s="12" t="s">
        <v>649</v>
      </c>
      <c r="F52" s="10" t="s">
        <v>884</v>
      </c>
      <c r="G52" s="12" t="s">
        <v>1205</v>
      </c>
      <c r="H52" s="10" t="s">
        <v>1181</v>
      </c>
      <c r="I52" s="444" t="s">
        <v>1158</v>
      </c>
      <c r="J52" s="10" t="s">
        <v>1038</v>
      </c>
      <c r="K52" s="444" t="s">
        <v>2132</v>
      </c>
      <c r="L52" s="10" t="s">
        <v>1470</v>
      </c>
      <c r="M52" s="445" t="s">
        <v>1976</v>
      </c>
      <c r="N52" s="10" t="s">
        <v>581</v>
      </c>
      <c r="O52" s="12" t="s">
        <v>233</v>
      </c>
      <c r="P52" s="450" t="s">
        <v>2019</v>
      </c>
      <c r="Q52" s="451" t="s">
        <v>2303</v>
      </c>
      <c r="R52" s="10" t="s">
        <v>2435</v>
      </c>
      <c r="S52" s="12" t="s">
        <v>995</v>
      </c>
      <c r="T52" s="10" t="s">
        <v>1795</v>
      </c>
      <c r="U52" s="833" t="s">
        <v>3443</v>
      </c>
      <c r="V52" s="10" t="s">
        <v>2609</v>
      </c>
      <c r="W52" s="444" t="s">
        <v>2755</v>
      </c>
      <c r="X52" s="10" t="s">
        <v>3194</v>
      </c>
    </row>
    <row r="53" spans="1:24" ht="52.5">
      <c r="A53" s="12" t="s">
        <v>1503</v>
      </c>
      <c r="B53" s="10" t="s">
        <v>1503</v>
      </c>
      <c r="C53" s="12">
        <f>'Language 3'!C53</f>
        <v>0</v>
      </c>
      <c r="D53" s="10" t="s">
        <v>1946</v>
      </c>
      <c r="E53" s="12" t="s">
        <v>650</v>
      </c>
      <c r="F53" s="10" t="s">
        <v>885</v>
      </c>
      <c r="G53" s="12" t="s">
        <v>1206</v>
      </c>
      <c r="H53" s="10" t="s">
        <v>1182</v>
      </c>
      <c r="I53" s="444" t="s">
        <v>1159</v>
      </c>
      <c r="J53" s="10" t="s">
        <v>1039</v>
      </c>
      <c r="K53" s="444" t="s">
        <v>2133</v>
      </c>
      <c r="L53" s="10" t="s">
        <v>1471</v>
      </c>
      <c r="M53" s="445" t="s">
        <v>1977</v>
      </c>
      <c r="N53" s="10" t="s">
        <v>965</v>
      </c>
      <c r="O53" s="12" t="s">
        <v>234</v>
      </c>
      <c r="P53" s="454" t="s">
        <v>2020</v>
      </c>
      <c r="Q53" s="451" t="s">
        <v>2304</v>
      </c>
      <c r="R53" s="10" t="s">
        <v>2436</v>
      </c>
      <c r="S53" s="12" t="s">
        <v>87</v>
      </c>
      <c r="T53" s="10" t="s">
        <v>277</v>
      </c>
      <c r="U53" s="833" t="s">
        <v>3444</v>
      </c>
      <c r="V53" s="10" t="s">
        <v>2610</v>
      </c>
      <c r="W53" s="444" t="s">
        <v>2756</v>
      </c>
      <c r="X53" s="10" t="s">
        <v>3195</v>
      </c>
    </row>
    <row r="54" spans="1:24" ht="37.5">
      <c r="A54" s="12" t="s">
        <v>797</v>
      </c>
      <c r="B54" s="10" t="s">
        <v>797</v>
      </c>
      <c r="C54" s="12">
        <f>'Language 3'!C54</f>
        <v>0</v>
      </c>
      <c r="D54" s="10" t="s">
        <v>1947</v>
      </c>
      <c r="E54" s="12" t="s">
        <v>651</v>
      </c>
      <c r="F54" s="10" t="s">
        <v>465</v>
      </c>
      <c r="G54" s="12" t="s">
        <v>2524</v>
      </c>
      <c r="H54" s="10" t="s">
        <v>1183</v>
      </c>
      <c r="I54" s="444" t="s">
        <v>1160</v>
      </c>
      <c r="J54" s="10" t="s">
        <v>1040</v>
      </c>
      <c r="K54" s="444" t="s">
        <v>2134</v>
      </c>
      <c r="L54" s="10" t="s">
        <v>1472</v>
      </c>
      <c r="M54" s="445" t="s">
        <v>495</v>
      </c>
      <c r="N54" s="10" t="s">
        <v>966</v>
      </c>
      <c r="O54" s="12" t="s">
        <v>235</v>
      </c>
      <c r="P54" s="450" t="s">
        <v>398</v>
      </c>
      <c r="Q54" s="451" t="s">
        <v>2305</v>
      </c>
      <c r="R54" s="10" t="s">
        <v>2437</v>
      </c>
      <c r="S54" s="12" t="s">
        <v>88</v>
      </c>
      <c r="T54" s="10" t="s">
        <v>1796</v>
      </c>
      <c r="U54" s="833" t="s">
        <v>3445</v>
      </c>
      <c r="V54" s="10" t="s">
        <v>2611</v>
      </c>
      <c r="W54" s="444" t="s">
        <v>2757</v>
      </c>
      <c r="X54" s="10" t="s">
        <v>3196</v>
      </c>
    </row>
    <row r="55" spans="1:24" ht="25">
      <c r="A55" s="12" t="s">
        <v>798</v>
      </c>
      <c r="B55" s="10" t="s">
        <v>798</v>
      </c>
      <c r="C55" s="12">
        <f>'Language 3'!C55</f>
        <v>0</v>
      </c>
      <c r="D55" s="10" t="s">
        <v>1948</v>
      </c>
      <c r="E55" s="12" t="s">
        <v>312</v>
      </c>
      <c r="F55" s="10" t="s">
        <v>466</v>
      </c>
      <c r="G55" s="12" t="s">
        <v>2525</v>
      </c>
      <c r="H55" s="10" t="s">
        <v>1184</v>
      </c>
      <c r="I55" s="453" t="s">
        <v>3059</v>
      </c>
      <c r="J55" s="10" t="s">
        <v>1041</v>
      </c>
      <c r="K55" s="444" t="s">
        <v>2135</v>
      </c>
      <c r="L55" s="10" t="s">
        <v>1473</v>
      </c>
      <c r="M55" s="445" t="s">
        <v>496</v>
      </c>
      <c r="N55" s="10" t="s">
        <v>967</v>
      </c>
      <c r="O55" s="12" t="s">
        <v>236</v>
      </c>
      <c r="P55" s="450" t="s">
        <v>2021</v>
      </c>
      <c r="Q55" s="451" t="s">
        <v>2306</v>
      </c>
      <c r="R55" s="10" t="s">
        <v>2438</v>
      </c>
      <c r="S55" s="12" t="s">
        <v>131</v>
      </c>
      <c r="T55" s="10" t="s">
        <v>1797</v>
      </c>
      <c r="U55" s="833" t="s">
        <v>3446</v>
      </c>
      <c r="V55" s="10" t="s">
        <v>2612</v>
      </c>
      <c r="W55" s="444" t="s">
        <v>2758</v>
      </c>
      <c r="X55" s="10" t="s">
        <v>3197</v>
      </c>
    </row>
    <row r="56" spans="1:24" ht="17.5">
      <c r="A56" s="12" t="s">
        <v>2222</v>
      </c>
      <c r="B56" s="10" t="s">
        <v>2222</v>
      </c>
      <c r="C56" s="12">
        <f>'Language 3'!C56</f>
        <v>0</v>
      </c>
      <c r="D56" s="10" t="s">
        <v>2222</v>
      </c>
      <c r="E56" s="12" t="s">
        <v>652</v>
      </c>
      <c r="F56" s="10" t="s">
        <v>467</v>
      </c>
      <c r="G56" s="12" t="s">
        <v>2526</v>
      </c>
      <c r="H56" s="10" t="s">
        <v>1185</v>
      </c>
      <c r="I56" s="444" t="s">
        <v>1161</v>
      </c>
      <c r="J56" s="10" t="s">
        <v>1042</v>
      </c>
      <c r="K56" s="444" t="s">
        <v>2136</v>
      </c>
      <c r="L56" s="10" t="s">
        <v>1474</v>
      </c>
      <c r="M56" s="445" t="s">
        <v>497</v>
      </c>
      <c r="N56" s="10" t="s">
        <v>968</v>
      </c>
      <c r="O56" s="12" t="s">
        <v>237</v>
      </c>
      <c r="P56" s="450" t="s">
        <v>399</v>
      </c>
      <c r="Q56" s="451" t="s">
        <v>2307</v>
      </c>
      <c r="R56" s="10" t="s">
        <v>2439</v>
      </c>
      <c r="S56" s="12" t="s">
        <v>132</v>
      </c>
      <c r="T56" s="10" t="s">
        <v>237</v>
      </c>
      <c r="U56" s="833" t="s">
        <v>6</v>
      </c>
      <c r="V56" s="10" t="s">
        <v>2613</v>
      </c>
      <c r="W56" s="444" t="s">
        <v>2759</v>
      </c>
      <c r="X56" s="10" t="s">
        <v>3198</v>
      </c>
    </row>
    <row r="57" spans="1:24" ht="25">
      <c r="A57" s="12" t="s">
        <v>1504</v>
      </c>
      <c r="B57" s="10" t="s">
        <v>1504</v>
      </c>
      <c r="C57" s="12">
        <f>'Language 3'!C57</f>
        <v>0</v>
      </c>
      <c r="D57" s="10" t="s">
        <v>1949</v>
      </c>
      <c r="E57" s="12" t="s">
        <v>653</v>
      </c>
      <c r="F57" s="10" t="s">
        <v>706</v>
      </c>
      <c r="G57" s="12" t="s">
        <v>1428</v>
      </c>
      <c r="H57" s="10" t="s">
        <v>781</v>
      </c>
      <c r="I57" s="444" t="s">
        <v>1429</v>
      </c>
      <c r="J57" s="10" t="s">
        <v>1546</v>
      </c>
      <c r="K57" s="444" t="s">
        <v>838</v>
      </c>
      <c r="L57" s="10" t="s">
        <v>1475</v>
      </c>
      <c r="M57" s="445" t="s">
        <v>498</v>
      </c>
      <c r="N57" s="10" t="s">
        <v>969</v>
      </c>
      <c r="O57" s="12" t="s">
        <v>238</v>
      </c>
      <c r="P57" s="450" t="s">
        <v>400</v>
      </c>
      <c r="Q57" s="451" t="s">
        <v>2308</v>
      </c>
      <c r="R57" s="10" t="s">
        <v>2440</v>
      </c>
      <c r="S57" s="12" t="s">
        <v>133</v>
      </c>
      <c r="T57" s="10" t="s">
        <v>238</v>
      </c>
      <c r="U57" s="833" t="s">
        <v>7</v>
      </c>
      <c r="V57" s="10" t="s">
        <v>2614</v>
      </c>
      <c r="W57" s="444" t="s">
        <v>2760</v>
      </c>
      <c r="X57" s="10" t="s">
        <v>3199</v>
      </c>
    </row>
    <row r="58" spans="1:24" ht="17.5">
      <c r="A58" s="12" t="s">
        <v>2223</v>
      </c>
      <c r="B58" s="10" t="s">
        <v>2223</v>
      </c>
      <c r="C58" s="12">
        <f>'Language 3'!C58</f>
        <v>0</v>
      </c>
      <c r="D58" s="10" t="s">
        <v>844</v>
      </c>
      <c r="E58" s="12" t="s">
        <v>654</v>
      </c>
      <c r="F58" s="10" t="s">
        <v>468</v>
      </c>
      <c r="G58" s="12" t="s">
        <v>2527</v>
      </c>
      <c r="H58" s="10" t="s">
        <v>1186</v>
      </c>
      <c r="I58" s="444" t="s">
        <v>839</v>
      </c>
      <c r="J58" s="10" t="s">
        <v>1043</v>
      </c>
      <c r="K58" s="444" t="s">
        <v>839</v>
      </c>
      <c r="L58" s="10" t="s">
        <v>1476</v>
      </c>
      <c r="M58" s="445" t="s">
        <v>499</v>
      </c>
      <c r="N58" s="10" t="s">
        <v>970</v>
      </c>
      <c r="O58" s="12" t="s">
        <v>239</v>
      </c>
      <c r="P58" s="450" t="s">
        <v>401</v>
      </c>
      <c r="Q58" s="451" t="s">
        <v>401</v>
      </c>
      <c r="R58" s="10" t="s">
        <v>2441</v>
      </c>
      <c r="S58" s="12" t="s">
        <v>134</v>
      </c>
      <c r="T58" s="10" t="s">
        <v>239</v>
      </c>
      <c r="U58" s="833" t="s">
        <v>3447</v>
      </c>
      <c r="V58" s="10" t="s">
        <v>2615</v>
      </c>
      <c r="W58" s="444" t="s">
        <v>2761</v>
      </c>
      <c r="X58" s="10" t="s">
        <v>3200</v>
      </c>
    </row>
    <row r="59" spans="1:24" ht="17.5">
      <c r="A59" s="12" t="s">
        <v>2229</v>
      </c>
      <c r="B59" s="10" t="s">
        <v>2229</v>
      </c>
      <c r="C59" s="12">
        <f>'Language 3'!C59</f>
        <v>0</v>
      </c>
      <c r="D59" s="10" t="s">
        <v>2229</v>
      </c>
      <c r="E59" s="12" t="s">
        <v>655</v>
      </c>
      <c r="F59" s="10" t="s">
        <v>1430</v>
      </c>
      <c r="G59" s="12" t="s">
        <v>1427</v>
      </c>
      <c r="H59" s="10" t="s">
        <v>2229</v>
      </c>
      <c r="I59" s="444" t="s">
        <v>2229</v>
      </c>
      <c r="J59" s="10" t="s">
        <v>1547</v>
      </c>
      <c r="K59" s="444" t="s">
        <v>2229</v>
      </c>
      <c r="L59" s="10" t="s">
        <v>1477</v>
      </c>
      <c r="M59" s="445" t="s">
        <v>500</v>
      </c>
      <c r="N59" s="10" t="s">
        <v>971</v>
      </c>
      <c r="O59" s="12" t="s">
        <v>240</v>
      </c>
      <c r="P59" s="450" t="s">
        <v>402</v>
      </c>
      <c r="Q59" s="451" t="s">
        <v>2309</v>
      </c>
      <c r="R59" s="10" t="s">
        <v>2442</v>
      </c>
      <c r="S59" s="12" t="s">
        <v>2229</v>
      </c>
      <c r="T59" s="10" t="s">
        <v>240</v>
      </c>
      <c r="U59" s="833" t="s">
        <v>8</v>
      </c>
      <c r="V59" s="10" t="s">
        <v>2616</v>
      </c>
      <c r="W59" s="444" t="s">
        <v>2762</v>
      </c>
      <c r="X59" s="10" t="s">
        <v>3201</v>
      </c>
    </row>
    <row r="60" spans="1:24" ht="25">
      <c r="A60" s="12" t="s">
        <v>1505</v>
      </c>
      <c r="B60" s="10" t="s">
        <v>1505</v>
      </c>
      <c r="C60" s="12">
        <f>'Language 3'!C60</f>
        <v>0</v>
      </c>
      <c r="D60" s="10" t="s">
        <v>845</v>
      </c>
      <c r="E60" s="12" t="s">
        <v>313</v>
      </c>
      <c r="F60" s="10" t="s">
        <v>469</v>
      </c>
      <c r="G60" s="12" t="s">
        <v>2528</v>
      </c>
      <c r="H60" s="10" t="s">
        <v>1187</v>
      </c>
      <c r="I60" s="444" t="s">
        <v>1162</v>
      </c>
      <c r="J60" s="10" t="s">
        <v>1044</v>
      </c>
      <c r="K60" s="444" t="s">
        <v>840</v>
      </c>
      <c r="L60" s="10" t="s">
        <v>1478</v>
      </c>
      <c r="M60" s="445" t="s">
        <v>501</v>
      </c>
      <c r="N60" s="10" t="s">
        <v>972</v>
      </c>
      <c r="O60" s="12" t="s">
        <v>241</v>
      </c>
      <c r="P60" s="450" t="s">
        <v>403</v>
      </c>
      <c r="Q60" s="451" t="s">
        <v>2310</v>
      </c>
      <c r="R60" s="10" t="s">
        <v>2443</v>
      </c>
      <c r="S60" s="12" t="s">
        <v>89</v>
      </c>
      <c r="T60" s="10" t="s">
        <v>1798</v>
      </c>
      <c r="U60" s="833" t="s">
        <v>9</v>
      </c>
      <c r="V60" s="10" t="s">
        <v>2617</v>
      </c>
      <c r="W60" s="444" t="s">
        <v>2763</v>
      </c>
      <c r="X60" s="10" t="s">
        <v>3202</v>
      </c>
    </row>
    <row r="61" spans="1:24" ht="25">
      <c r="A61" s="12" t="s">
        <v>1506</v>
      </c>
      <c r="B61" s="10" t="s">
        <v>1506</v>
      </c>
      <c r="C61" s="12">
        <f>'Language 3'!C61</f>
        <v>0</v>
      </c>
      <c r="D61" s="10" t="s">
        <v>846</v>
      </c>
      <c r="E61" s="12" t="s">
        <v>656</v>
      </c>
      <c r="F61" s="10" t="s">
        <v>1431</v>
      </c>
      <c r="G61" s="12" t="s">
        <v>1432</v>
      </c>
      <c r="H61" s="10" t="s">
        <v>1188</v>
      </c>
      <c r="I61" s="453" t="s">
        <v>3060</v>
      </c>
      <c r="J61" s="10" t="s">
        <v>1548</v>
      </c>
      <c r="K61" s="444" t="s">
        <v>841</v>
      </c>
      <c r="L61" s="10" t="s">
        <v>1479</v>
      </c>
      <c r="M61" s="445" t="s">
        <v>502</v>
      </c>
      <c r="N61" s="10" t="s">
        <v>973</v>
      </c>
      <c r="O61" s="12" t="s">
        <v>242</v>
      </c>
      <c r="P61" s="450" t="s">
        <v>404</v>
      </c>
      <c r="Q61" s="451" t="s">
        <v>2311</v>
      </c>
      <c r="R61" s="10" t="s">
        <v>2444</v>
      </c>
      <c r="S61" s="12" t="s">
        <v>1035</v>
      </c>
      <c r="T61" s="10" t="s">
        <v>1799</v>
      </c>
      <c r="U61" s="833" t="s">
        <v>3448</v>
      </c>
      <c r="V61" s="10" t="s">
        <v>2618</v>
      </c>
      <c r="W61" s="444" t="s">
        <v>2764</v>
      </c>
      <c r="X61" s="10" t="s">
        <v>3203</v>
      </c>
    </row>
    <row r="62" spans="1:24" ht="17.5">
      <c r="A62" s="12" t="s">
        <v>794</v>
      </c>
      <c r="B62" s="10" t="s">
        <v>794</v>
      </c>
      <c r="C62" s="12">
        <f>'Language 3'!C62</f>
        <v>0</v>
      </c>
      <c r="D62" s="10" t="s">
        <v>794</v>
      </c>
      <c r="E62" s="12" t="s">
        <v>794</v>
      </c>
      <c r="F62" s="10" t="s">
        <v>470</v>
      </c>
      <c r="G62" s="12" t="s">
        <v>2529</v>
      </c>
      <c r="H62" s="10" t="s">
        <v>794</v>
      </c>
      <c r="I62" s="444" t="s">
        <v>842</v>
      </c>
      <c r="J62" s="10" t="s">
        <v>1045</v>
      </c>
      <c r="K62" s="444" t="s">
        <v>842</v>
      </c>
      <c r="L62" s="10" t="s">
        <v>794</v>
      </c>
      <c r="M62" s="445" t="s">
        <v>741</v>
      </c>
      <c r="N62" s="10" t="s">
        <v>974</v>
      </c>
      <c r="O62" s="12" t="s">
        <v>794</v>
      </c>
      <c r="P62" s="450" t="s">
        <v>405</v>
      </c>
      <c r="Q62" s="451" t="s">
        <v>2312</v>
      </c>
      <c r="R62" s="10" t="s">
        <v>2312</v>
      </c>
      <c r="S62" s="12" t="s">
        <v>794</v>
      </c>
      <c r="T62" s="10" t="s">
        <v>1800</v>
      </c>
      <c r="U62" s="833" t="s">
        <v>10</v>
      </c>
      <c r="V62" s="10" t="s">
        <v>2619</v>
      </c>
      <c r="W62" s="444" t="s">
        <v>2765</v>
      </c>
      <c r="X62" s="10" t="s">
        <v>794</v>
      </c>
    </row>
    <row r="63" spans="1:24" ht="17.5">
      <c r="A63" s="12" t="s">
        <v>795</v>
      </c>
      <c r="B63" s="10" t="s">
        <v>795</v>
      </c>
      <c r="C63" s="12">
        <f>'Language 3'!C63</f>
        <v>0</v>
      </c>
      <c r="D63" s="10" t="s">
        <v>795</v>
      </c>
      <c r="E63" s="12" t="s">
        <v>795</v>
      </c>
      <c r="F63" s="10" t="s">
        <v>471</v>
      </c>
      <c r="G63" s="12" t="s">
        <v>2530</v>
      </c>
      <c r="H63" s="10" t="s">
        <v>1189</v>
      </c>
      <c r="I63" s="444" t="s">
        <v>843</v>
      </c>
      <c r="J63" s="10" t="s">
        <v>1046</v>
      </c>
      <c r="K63" s="444" t="s">
        <v>843</v>
      </c>
      <c r="L63" s="10" t="s">
        <v>795</v>
      </c>
      <c r="M63" s="445" t="s">
        <v>742</v>
      </c>
      <c r="N63" s="10" t="s">
        <v>975</v>
      </c>
      <c r="O63" s="12" t="s">
        <v>1189</v>
      </c>
      <c r="P63" s="450" t="s">
        <v>406</v>
      </c>
      <c r="Q63" s="451" t="s">
        <v>2313</v>
      </c>
      <c r="R63" s="10" t="s">
        <v>2313</v>
      </c>
      <c r="S63" s="12" t="s">
        <v>795</v>
      </c>
      <c r="T63" s="10" t="s">
        <v>1189</v>
      </c>
      <c r="U63" s="833" t="s">
        <v>11</v>
      </c>
      <c r="V63" s="10" t="s">
        <v>2620</v>
      </c>
      <c r="W63" s="444" t="s">
        <v>2766</v>
      </c>
      <c r="X63" s="10" t="s">
        <v>795</v>
      </c>
    </row>
    <row r="64" spans="1:24" ht="17.5">
      <c r="A64" s="12" t="s">
        <v>796</v>
      </c>
      <c r="B64" s="10" t="s">
        <v>796</v>
      </c>
      <c r="C64" s="12">
        <f>'Language 3'!C64</f>
        <v>0</v>
      </c>
      <c r="D64" s="10" t="s">
        <v>1399</v>
      </c>
      <c r="E64" s="12" t="s">
        <v>2107</v>
      </c>
      <c r="F64" s="10" t="s">
        <v>453</v>
      </c>
      <c r="G64" s="12" t="s">
        <v>166</v>
      </c>
      <c r="H64" s="10" t="s">
        <v>1921</v>
      </c>
      <c r="I64" s="444" t="s">
        <v>2218</v>
      </c>
      <c r="J64" s="10" t="s">
        <v>1047</v>
      </c>
      <c r="K64" s="444" t="s">
        <v>1610</v>
      </c>
      <c r="L64" s="10" t="s">
        <v>1480</v>
      </c>
      <c r="M64" s="445" t="s">
        <v>2160</v>
      </c>
      <c r="N64" s="10" t="s">
        <v>937</v>
      </c>
      <c r="O64" s="12" t="s">
        <v>243</v>
      </c>
      <c r="P64" s="450" t="s">
        <v>388</v>
      </c>
      <c r="Q64" s="451" t="s">
        <v>2285</v>
      </c>
      <c r="R64" s="10" t="s">
        <v>2418</v>
      </c>
      <c r="S64" s="12" t="s">
        <v>2126</v>
      </c>
      <c r="T64" s="10" t="s">
        <v>1736</v>
      </c>
      <c r="U64" s="833" t="s">
        <v>4</v>
      </c>
      <c r="V64" s="10" t="s">
        <v>2589</v>
      </c>
      <c r="W64" s="444" t="s">
        <v>2737</v>
      </c>
      <c r="X64" s="10" t="s">
        <v>3204</v>
      </c>
    </row>
    <row r="65" spans="1:24" ht="100">
      <c r="A65" s="12" t="s">
        <v>1136</v>
      </c>
      <c r="B65" s="10" t="s">
        <v>1136</v>
      </c>
      <c r="C65" s="12">
        <f>'Language 3'!C65</f>
        <v>0</v>
      </c>
      <c r="D65" s="10" t="s">
        <v>847</v>
      </c>
      <c r="E65" s="12" t="s">
        <v>657</v>
      </c>
      <c r="F65" s="10" t="s">
        <v>1420</v>
      </c>
      <c r="G65" s="12" t="s">
        <v>582</v>
      </c>
      <c r="H65" s="10" t="s">
        <v>583</v>
      </c>
      <c r="I65" s="453" t="s">
        <v>3061</v>
      </c>
      <c r="J65" s="10" t="s">
        <v>584</v>
      </c>
      <c r="K65" s="444" t="s">
        <v>1216</v>
      </c>
      <c r="L65" s="10" t="s">
        <v>1481</v>
      </c>
      <c r="M65" s="445" t="s">
        <v>1255</v>
      </c>
      <c r="N65" s="10" t="s">
        <v>976</v>
      </c>
      <c r="O65" s="12" t="s">
        <v>244</v>
      </c>
      <c r="P65" s="454" t="s">
        <v>2022</v>
      </c>
      <c r="Q65" s="451" t="s">
        <v>2314</v>
      </c>
      <c r="R65" s="10" t="s">
        <v>2445</v>
      </c>
      <c r="S65" s="12" t="s">
        <v>604</v>
      </c>
      <c r="T65" s="10" t="s">
        <v>276</v>
      </c>
      <c r="U65" s="833" t="s">
        <v>3449</v>
      </c>
      <c r="V65" s="10" t="s">
        <v>2621</v>
      </c>
      <c r="W65" s="444" t="s">
        <v>2767</v>
      </c>
      <c r="X65" s="10" t="s">
        <v>3205</v>
      </c>
    </row>
    <row r="66" spans="1:24" ht="37.5">
      <c r="A66" s="12" t="s">
        <v>2226</v>
      </c>
      <c r="B66" s="10" t="s">
        <v>2226</v>
      </c>
      <c r="C66" s="12">
        <f>'Language 3'!C66</f>
        <v>0</v>
      </c>
      <c r="D66" s="10" t="s">
        <v>848</v>
      </c>
      <c r="E66" s="12" t="s">
        <v>205</v>
      </c>
      <c r="F66" s="10" t="s">
        <v>945</v>
      </c>
      <c r="G66" s="12" t="s">
        <v>2531</v>
      </c>
      <c r="H66" s="10" t="s">
        <v>1190</v>
      </c>
      <c r="I66" s="444" t="s">
        <v>1163</v>
      </c>
      <c r="J66" s="10" t="s">
        <v>1048</v>
      </c>
      <c r="K66" s="444" t="s">
        <v>1217</v>
      </c>
      <c r="L66" s="10" t="s">
        <v>1482</v>
      </c>
      <c r="M66" s="445" t="s">
        <v>503</v>
      </c>
      <c r="N66" s="10" t="s">
        <v>977</v>
      </c>
      <c r="O66" s="12" t="s">
        <v>245</v>
      </c>
      <c r="P66" s="450" t="s">
        <v>2023</v>
      </c>
      <c r="Q66" s="451" t="s">
        <v>2315</v>
      </c>
      <c r="R66" s="10" t="s">
        <v>2446</v>
      </c>
      <c r="S66" s="12" t="s">
        <v>90</v>
      </c>
      <c r="T66" s="10" t="s">
        <v>1801</v>
      </c>
      <c r="U66" s="833" t="s">
        <v>3450</v>
      </c>
      <c r="V66" s="10" t="s">
        <v>2622</v>
      </c>
      <c r="W66" s="444" t="s">
        <v>2768</v>
      </c>
      <c r="X66" s="10" t="s">
        <v>3206</v>
      </c>
    </row>
    <row r="67" spans="1:24" ht="25">
      <c r="A67" s="12" t="s">
        <v>2230</v>
      </c>
      <c r="B67" s="10" t="s">
        <v>2230</v>
      </c>
      <c r="C67" s="12">
        <f>'Language 3'!C67</f>
        <v>0</v>
      </c>
      <c r="D67" s="10" t="s">
        <v>849</v>
      </c>
      <c r="E67" s="12" t="s">
        <v>657</v>
      </c>
      <c r="F67" s="10" t="s">
        <v>946</v>
      </c>
      <c r="G67" s="12" t="s">
        <v>2532</v>
      </c>
      <c r="H67" s="10" t="s">
        <v>1191</v>
      </c>
      <c r="I67" s="444" t="s">
        <v>1164</v>
      </c>
      <c r="J67" s="10" t="s">
        <v>1049</v>
      </c>
      <c r="K67" s="444" t="s">
        <v>1218</v>
      </c>
      <c r="L67" s="10" t="s">
        <v>1483</v>
      </c>
      <c r="M67" s="445" t="s">
        <v>504</v>
      </c>
      <c r="N67" s="10" t="s">
        <v>978</v>
      </c>
      <c r="O67" s="12" t="s">
        <v>246</v>
      </c>
      <c r="P67" s="450" t="s">
        <v>2024</v>
      </c>
      <c r="Q67" s="451" t="s">
        <v>2316</v>
      </c>
      <c r="R67" s="10" t="s">
        <v>2447</v>
      </c>
      <c r="S67" s="12" t="s">
        <v>135</v>
      </c>
      <c r="T67" s="10" t="s">
        <v>1802</v>
      </c>
      <c r="U67" s="833" t="s">
        <v>3451</v>
      </c>
      <c r="V67" s="10" t="s">
        <v>2623</v>
      </c>
      <c r="W67" s="444" t="s">
        <v>2769</v>
      </c>
      <c r="X67" s="10" t="s">
        <v>3207</v>
      </c>
    </row>
    <row r="68" spans="1:24" ht="62.5">
      <c r="A68" s="12" t="s">
        <v>1137</v>
      </c>
      <c r="B68" s="10" t="s">
        <v>1137</v>
      </c>
      <c r="C68" s="12">
        <f>'Language 3'!C68</f>
        <v>0</v>
      </c>
      <c r="D68" s="10" t="s">
        <v>850</v>
      </c>
      <c r="E68" s="12" t="s">
        <v>206</v>
      </c>
      <c r="F68" s="10" t="s">
        <v>1433</v>
      </c>
      <c r="G68" s="12" t="s">
        <v>1627</v>
      </c>
      <c r="H68" s="10" t="s">
        <v>1192</v>
      </c>
      <c r="I68" s="453" t="s">
        <v>3062</v>
      </c>
      <c r="J68" s="10" t="s">
        <v>1549</v>
      </c>
      <c r="K68" s="444" t="s">
        <v>1219</v>
      </c>
      <c r="L68" s="10" t="s">
        <v>1484</v>
      </c>
      <c r="M68" s="445" t="s">
        <v>1511</v>
      </c>
      <c r="N68" s="10" t="s">
        <v>1960</v>
      </c>
      <c r="O68" s="12" t="s">
        <v>247</v>
      </c>
      <c r="P68" s="454" t="s">
        <v>2025</v>
      </c>
      <c r="Q68" s="451" t="s">
        <v>2317</v>
      </c>
      <c r="R68" s="10" t="s">
        <v>2448</v>
      </c>
      <c r="S68" s="12" t="s">
        <v>91</v>
      </c>
      <c r="T68" s="10" t="s">
        <v>1803</v>
      </c>
      <c r="U68" s="833" t="s">
        <v>3452</v>
      </c>
      <c r="V68" s="10" t="s">
        <v>2624</v>
      </c>
      <c r="W68" s="444" t="s">
        <v>2770</v>
      </c>
      <c r="X68" s="10" t="s">
        <v>3208</v>
      </c>
    </row>
    <row r="69" spans="1:24" ht="62.5">
      <c r="A69" s="12" t="s">
        <v>1663</v>
      </c>
      <c r="B69" s="10" t="s">
        <v>1138</v>
      </c>
      <c r="C69" s="12">
        <f>'Language 3'!C69</f>
        <v>0</v>
      </c>
      <c r="D69" s="10" t="s">
        <v>851</v>
      </c>
      <c r="E69" s="12" t="s">
        <v>207</v>
      </c>
      <c r="F69" s="10" t="s">
        <v>1628</v>
      </c>
      <c r="G69" s="12" t="s">
        <v>1629</v>
      </c>
      <c r="H69" s="10" t="s">
        <v>1707</v>
      </c>
      <c r="I69" s="453" t="s">
        <v>3063</v>
      </c>
      <c r="J69" s="10" t="s">
        <v>1550</v>
      </c>
      <c r="K69" s="444" t="s">
        <v>1220</v>
      </c>
      <c r="L69" s="10" t="s">
        <v>1485</v>
      </c>
      <c r="M69" s="445" t="s">
        <v>505</v>
      </c>
      <c r="N69" s="10" t="s">
        <v>1961</v>
      </c>
      <c r="O69" s="12" t="s">
        <v>248</v>
      </c>
      <c r="P69" s="454" t="s">
        <v>2026</v>
      </c>
      <c r="Q69" s="451" t="s">
        <v>2318</v>
      </c>
      <c r="R69" s="10" t="s">
        <v>2449</v>
      </c>
      <c r="S69" s="12" t="s">
        <v>92</v>
      </c>
      <c r="T69" s="10" t="s">
        <v>1804</v>
      </c>
      <c r="U69" s="833" t="s">
        <v>3453</v>
      </c>
      <c r="V69" s="10" t="s">
        <v>2625</v>
      </c>
      <c r="W69" s="444" t="s">
        <v>2771</v>
      </c>
      <c r="X69" s="10" t="s">
        <v>3209</v>
      </c>
    </row>
    <row r="70" spans="1:24" ht="17.5">
      <c r="A70" s="12" t="s">
        <v>787</v>
      </c>
      <c r="B70" s="10" t="s">
        <v>787</v>
      </c>
      <c r="C70" s="12">
        <f>'Language 3'!C70</f>
        <v>0</v>
      </c>
      <c r="D70" s="10" t="s">
        <v>852</v>
      </c>
      <c r="E70" s="12" t="s">
        <v>208</v>
      </c>
      <c r="F70" s="10" t="s">
        <v>947</v>
      </c>
      <c r="G70" s="12" t="s">
        <v>2534</v>
      </c>
      <c r="H70" s="10" t="s">
        <v>1708</v>
      </c>
      <c r="I70" s="444" t="s">
        <v>1165</v>
      </c>
      <c r="J70" s="10" t="s">
        <v>1050</v>
      </c>
      <c r="K70" s="444" t="s">
        <v>1426</v>
      </c>
      <c r="L70" s="10" t="s">
        <v>1486</v>
      </c>
      <c r="M70" s="445" t="s">
        <v>506</v>
      </c>
      <c r="N70" s="10" t="s">
        <v>979</v>
      </c>
      <c r="O70" s="12" t="s">
        <v>249</v>
      </c>
      <c r="P70" s="450" t="s">
        <v>407</v>
      </c>
      <c r="Q70" s="451" t="s">
        <v>2319</v>
      </c>
      <c r="R70" s="10" t="s">
        <v>407</v>
      </c>
      <c r="S70" s="12" t="s">
        <v>136</v>
      </c>
      <c r="T70" s="10" t="s">
        <v>1805</v>
      </c>
      <c r="U70" s="833" t="s">
        <v>3454</v>
      </c>
      <c r="V70" s="10" t="s">
        <v>2626</v>
      </c>
      <c r="W70" s="444" t="s">
        <v>2772</v>
      </c>
      <c r="X70" s="10" t="s">
        <v>3210</v>
      </c>
    </row>
    <row r="71" spans="1:24" ht="25">
      <c r="A71" s="12" t="s">
        <v>788</v>
      </c>
      <c r="B71" s="10" t="s">
        <v>788</v>
      </c>
      <c r="C71" s="12">
        <f>'Language 3'!C71</f>
        <v>0</v>
      </c>
      <c r="D71" s="10" t="s">
        <v>853</v>
      </c>
      <c r="E71" s="12" t="s">
        <v>209</v>
      </c>
      <c r="F71" s="10" t="s">
        <v>948</v>
      </c>
      <c r="G71" s="12" t="s">
        <v>2535</v>
      </c>
      <c r="H71" s="10" t="s">
        <v>1709</v>
      </c>
      <c r="I71" s="453" t="s">
        <v>3064</v>
      </c>
      <c r="J71" s="10" t="s">
        <v>1051</v>
      </c>
      <c r="K71" s="444" t="s">
        <v>1221</v>
      </c>
      <c r="L71" s="10" t="s">
        <v>1487</v>
      </c>
      <c r="M71" s="445" t="s">
        <v>507</v>
      </c>
      <c r="N71" s="10" t="s">
        <v>980</v>
      </c>
      <c r="O71" s="12" t="s">
        <v>250</v>
      </c>
      <c r="P71" s="450" t="s">
        <v>408</v>
      </c>
      <c r="Q71" s="451" t="s">
        <v>2320</v>
      </c>
      <c r="R71" s="10" t="s">
        <v>2450</v>
      </c>
      <c r="S71" s="12" t="s">
        <v>93</v>
      </c>
      <c r="T71" s="10" t="s">
        <v>1806</v>
      </c>
      <c r="U71" s="833" t="s">
        <v>3455</v>
      </c>
      <c r="V71" s="10" t="s">
        <v>2627</v>
      </c>
      <c r="W71" s="444" t="s">
        <v>2773</v>
      </c>
      <c r="X71" s="10" t="s">
        <v>3211</v>
      </c>
    </row>
    <row r="72" spans="1:24" ht="17.5">
      <c r="A72" s="12" t="s">
        <v>1139</v>
      </c>
      <c r="B72" s="10" t="s">
        <v>1139</v>
      </c>
      <c r="C72" s="12">
        <f>'Language 3'!C72</f>
        <v>0</v>
      </c>
      <c r="D72" s="10" t="s">
        <v>854</v>
      </c>
      <c r="E72" s="12" t="s">
        <v>210</v>
      </c>
      <c r="F72" s="10" t="s">
        <v>949</v>
      </c>
      <c r="G72" s="12" t="s">
        <v>548</v>
      </c>
      <c r="H72" s="10" t="s">
        <v>1139</v>
      </c>
      <c r="I72" s="444" t="s">
        <v>1222</v>
      </c>
      <c r="J72" s="10" t="s">
        <v>1139</v>
      </c>
      <c r="K72" s="444" t="s">
        <v>1222</v>
      </c>
      <c r="L72" s="10" t="s">
        <v>105</v>
      </c>
      <c r="M72" s="445" t="s">
        <v>508</v>
      </c>
      <c r="N72" s="10" t="s">
        <v>981</v>
      </c>
      <c r="O72" s="12" t="s">
        <v>251</v>
      </c>
      <c r="P72" s="450" t="s">
        <v>409</v>
      </c>
      <c r="Q72" s="451" t="s">
        <v>2321</v>
      </c>
      <c r="R72" s="10" t="s">
        <v>2451</v>
      </c>
      <c r="S72" s="12" t="s">
        <v>137</v>
      </c>
      <c r="T72" s="10" t="s">
        <v>1807</v>
      </c>
      <c r="U72" s="833" t="s">
        <v>251</v>
      </c>
      <c r="V72" s="10" t="s">
        <v>2628</v>
      </c>
      <c r="W72" s="444" t="s">
        <v>2774</v>
      </c>
      <c r="X72" s="10" t="s">
        <v>3212</v>
      </c>
    </row>
    <row r="73" spans="1:24" ht="25">
      <c r="A73" s="12" t="s">
        <v>789</v>
      </c>
      <c r="B73" s="10" t="s">
        <v>789</v>
      </c>
      <c r="C73" s="12">
        <f>'Language 3'!C73</f>
        <v>0</v>
      </c>
      <c r="D73" s="10" t="s">
        <v>855</v>
      </c>
      <c r="E73" s="12" t="s">
        <v>285</v>
      </c>
      <c r="F73" s="10" t="s">
        <v>950</v>
      </c>
      <c r="G73" s="12" t="s">
        <v>2536</v>
      </c>
      <c r="H73" s="10" t="s">
        <v>1710</v>
      </c>
      <c r="I73" s="444" t="s">
        <v>1166</v>
      </c>
      <c r="J73" s="10" t="s">
        <v>1052</v>
      </c>
      <c r="K73" s="444" t="s">
        <v>1223</v>
      </c>
      <c r="L73" s="10" t="s">
        <v>106</v>
      </c>
      <c r="M73" s="445" t="s">
        <v>509</v>
      </c>
      <c r="N73" s="10" t="s">
        <v>982</v>
      </c>
      <c r="O73" s="12" t="s">
        <v>252</v>
      </c>
      <c r="P73" s="450" t="s">
        <v>2027</v>
      </c>
      <c r="Q73" s="451" t="s">
        <v>2322</v>
      </c>
      <c r="R73" s="10" t="s">
        <v>2452</v>
      </c>
      <c r="S73" s="12" t="s">
        <v>138</v>
      </c>
      <c r="T73" s="10" t="s">
        <v>1808</v>
      </c>
      <c r="U73" s="833" t="s">
        <v>3456</v>
      </c>
      <c r="V73" s="10" t="s">
        <v>2629</v>
      </c>
      <c r="W73" s="444" t="s">
        <v>2775</v>
      </c>
      <c r="X73" s="10" t="s">
        <v>3213</v>
      </c>
    </row>
    <row r="74" spans="1:24" ht="35">
      <c r="A74" s="12" t="s">
        <v>1140</v>
      </c>
      <c r="B74" s="10" t="s">
        <v>1140</v>
      </c>
      <c r="C74" s="12">
        <f>'Language 3'!C74</f>
        <v>0</v>
      </c>
      <c r="D74" s="10" t="s">
        <v>856</v>
      </c>
      <c r="E74" s="12" t="s">
        <v>286</v>
      </c>
      <c r="F74" s="10" t="s">
        <v>585</v>
      </c>
      <c r="G74" s="12" t="s">
        <v>586</v>
      </c>
      <c r="H74" s="10" t="s">
        <v>782</v>
      </c>
      <c r="I74" s="444" t="s">
        <v>1630</v>
      </c>
      <c r="J74" s="10" t="s">
        <v>1551</v>
      </c>
      <c r="K74" s="444" t="s">
        <v>1224</v>
      </c>
      <c r="L74" s="10" t="s">
        <v>107</v>
      </c>
      <c r="M74" s="445" t="s">
        <v>510</v>
      </c>
      <c r="N74" s="10" t="s">
        <v>983</v>
      </c>
      <c r="O74" s="12" t="s">
        <v>253</v>
      </c>
      <c r="P74" s="450" t="s">
        <v>410</v>
      </c>
      <c r="Q74" s="451" t="s">
        <v>2323</v>
      </c>
      <c r="R74" s="10" t="s">
        <v>2453</v>
      </c>
      <c r="S74" s="12" t="s">
        <v>139</v>
      </c>
      <c r="T74" s="10" t="s">
        <v>1809</v>
      </c>
      <c r="U74" s="833" t="s">
        <v>3457</v>
      </c>
      <c r="V74" s="10" t="s">
        <v>2630</v>
      </c>
      <c r="W74" s="444" t="s">
        <v>2776</v>
      </c>
      <c r="X74" s="10" t="s">
        <v>3214</v>
      </c>
    </row>
    <row r="75" spans="1:24" ht="35">
      <c r="A75" s="12" t="s">
        <v>790</v>
      </c>
      <c r="B75" s="10" t="s">
        <v>790</v>
      </c>
      <c r="C75" s="12">
        <f>'Language 3'!C75</f>
        <v>0</v>
      </c>
      <c r="D75" s="10" t="s">
        <v>857</v>
      </c>
      <c r="E75" s="12" t="s">
        <v>284</v>
      </c>
      <c r="F75" s="10" t="s">
        <v>587</v>
      </c>
      <c r="G75" s="12" t="s">
        <v>588</v>
      </c>
      <c r="H75" s="10" t="s">
        <v>783</v>
      </c>
      <c r="I75" s="444" t="s">
        <v>589</v>
      </c>
      <c r="J75" s="10" t="s">
        <v>590</v>
      </c>
      <c r="K75" s="444" t="s">
        <v>1631</v>
      </c>
      <c r="L75" s="10" t="s">
        <v>591</v>
      </c>
      <c r="M75" s="445" t="s">
        <v>511</v>
      </c>
      <c r="N75" s="10" t="s">
        <v>1962</v>
      </c>
      <c r="O75" s="12" t="s">
        <v>254</v>
      </c>
      <c r="P75" s="450" t="s">
        <v>411</v>
      </c>
      <c r="Q75" s="451" t="s">
        <v>2324</v>
      </c>
      <c r="R75" s="10" t="s">
        <v>2454</v>
      </c>
      <c r="S75" s="12" t="s">
        <v>1978</v>
      </c>
      <c r="T75" s="10" t="s">
        <v>1822</v>
      </c>
      <c r="U75" s="833" t="s">
        <v>3458</v>
      </c>
      <c r="V75" s="10" t="s">
        <v>2631</v>
      </c>
      <c r="W75" s="444" t="s">
        <v>2777</v>
      </c>
      <c r="X75" s="10" t="s">
        <v>3215</v>
      </c>
    </row>
    <row r="76" spans="1:24" ht="35">
      <c r="A76" s="12" t="s">
        <v>791</v>
      </c>
      <c r="B76" s="10" t="s">
        <v>791</v>
      </c>
      <c r="C76" s="12">
        <f>'Language 3'!C76</f>
        <v>0</v>
      </c>
      <c r="D76" s="10" t="s">
        <v>858</v>
      </c>
      <c r="E76" s="12" t="s">
        <v>283</v>
      </c>
      <c r="F76" s="10" t="s">
        <v>596</v>
      </c>
      <c r="G76" s="12" t="s">
        <v>595</v>
      </c>
      <c r="H76" s="10" t="s">
        <v>784</v>
      </c>
      <c r="I76" s="444" t="s">
        <v>594</v>
      </c>
      <c r="J76" s="10" t="s">
        <v>593</v>
      </c>
      <c r="K76" s="444" t="s">
        <v>1632</v>
      </c>
      <c r="L76" s="10" t="s">
        <v>592</v>
      </c>
      <c r="M76" s="445" t="s">
        <v>512</v>
      </c>
      <c r="N76" s="10" t="s">
        <v>1963</v>
      </c>
      <c r="O76" s="12" t="s">
        <v>255</v>
      </c>
      <c r="P76" s="450" t="s">
        <v>412</v>
      </c>
      <c r="Q76" s="451" t="s">
        <v>2325</v>
      </c>
      <c r="R76" s="10" t="s">
        <v>2455</v>
      </c>
      <c r="S76" s="12" t="s">
        <v>102</v>
      </c>
      <c r="T76" s="10" t="s">
        <v>1823</v>
      </c>
      <c r="U76" s="833" t="s">
        <v>3459</v>
      </c>
      <c r="V76" s="10" t="s">
        <v>2632</v>
      </c>
      <c r="W76" s="444" t="s">
        <v>2778</v>
      </c>
      <c r="X76" s="10" t="s">
        <v>3216</v>
      </c>
    </row>
    <row r="77" spans="1:24" ht="37.5">
      <c r="A77" s="12" t="s">
        <v>793</v>
      </c>
      <c r="B77" s="10" t="s">
        <v>793</v>
      </c>
      <c r="C77" s="12">
        <f>'Language 3'!C77</f>
        <v>0</v>
      </c>
      <c r="D77" s="10" t="s">
        <v>859</v>
      </c>
      <c r="E77" s="12" t="s">
        <v>211</v>
      </c>
      <c r="F77" s="10" t="s">
        <v>1633</v>
      </c>
      <c r="G77" s="12" t="s">
        <v>1634</v>
      </c>
      <c r="H77" s="10" t="s">
        <v>1711</v>
      </c>
      <c r="I77" s="444" t="s">
        <v>1635</v>
      </c>
      <c r="J77" s="10" t="s">
        <v>1552</v>
      </c>
      <c r="K77" s="444" t="s">
        <v>1225</v>
      </c>
      <c r="L77" s="10" t="s">
        <v>108</v>
      </c>
      <c r="M77" s="445" t="s">
        <v>513</v>
      </c>
      <c r="N77" s="10" t="s">
        <v>1964</v>
      </c>
      <c r="O77" s="12" t="s">
        <v>256</v>
      </c>
      <c r="P77" s="450" t="s">
        <v>413</v>
      </c>
      <c r="Q77" s="451" t="s">
        <v>2326</v>
      </c>
      <c r="R77" s="10" t="s">
        <v>2456</v>
      </c>
      <c r="S77" s="12" t="s">
        <v>103</v>
      </c>
      <c r="T77" s="10" t="s">
        <v>1824</v>
      </c>
      <c r="U77" s="833" t="s">
        <v>3460</v>
      </c>
      <c r="V77" s="10" t="s">
        <v>2633</v>
      </c>
      <c r="W77" s="444" t="s">
        <v>2779</v>
      </c>
      <c r="X77" s="10" t="s">
        <v>3217</v>
      </c>
    </row>
    <row r="78" spans="1:24" ht="17.5">
      <c r="A78" s="12" t="s">
        <v>2231</v>
      </c>
      <c r="B78" s="10" t="s">
        <v>2231</v>
      </c>
      <c r="C78" s="12">
        <f>'Language 3'!C78</f>
        <v>0</v>
      </c>
      <c r="D78" s="10" t="s">
        <v>860</v>
      </c>
      <c r="E78" s="12" t="s">
        <v>212</v>
      </c>
      <c r="F78" s="10" t="s">
        <v>691</v>
      </c>
      <c r="G78" s="12" t="s">
        <v>34</v>
      </c>
      <c r="H78" s="10" t="s">
        <v>1712</v>
      </c>
      <c r="I78" s="453" t="s">
        <v>3065</v>
      </c>
      <c r="J78" s="10" t="s">
        <v>1053</v>
      </c>
      <c r="K78" s="444" t="s">
        <v>1226</v>
      </c>
      <c r="L78" s="10" t="s">
        <v>109</v>
      </c>
      <c r="M78" s="445" t="s">
        <v>514</v>
      </c>
      <c r="N78" s="10" t="s">
        <v>984</v>
      </c>
      <c r="O78" s="12" t="s">
        <v>257</v>
      </c>
      <c r="P78" s="450" t="s">
        <v>414</v>
      </c>
      <c r="Q78" s="451" t="s">
        <v>414</v>
      </c>
      <c r="R78" s="10" t="s">
        <v>414</v>
      </c>
      <c r="S78" s="12" t="s">
        <v>94</v>
      </c>
      <c r="T78" s="10" t="s">
        <v>1825</v>
      </c>
      <c r="U78" s="833" t="s">
        <v>3461</v>
      </c>
      <c r="V78" s="10" t="s">
        <v>2634</v>
      </c>
      <c r="W78" s="444" t="s">
        <v>2780</v>
      </c>
      <c r="X78" s="10" t="s">
        <v>3218</v>
      </c>
    </row>
    <row r="79" spans="1:24" ht="35">
      <c r="A79" s="12" t="s">
        <v>1673</v>
      </c>
      <c r="B79" s="10" t="s">
        <v>1673</v>
      </c>
      <c r="C79" s="12">
        <f>'Language 3'!C79</f>
        <v>0</v>
      </c>
      <c r="D79" s="10" t="s">
        <v>1674</v>
      </c>
      <c r="E79" s="12" t="s">
        <v>1675</v>
      </c>
      <c r="F79" s="10" t="s">
        <v>1676</v>
      </c>
      <c r="G79" s="12" t="s">
        <v>1677</v>
      </c>
      <c r="H79" s="10" t="s">
        <v>1678</v>
      </c>
      <c r="I79" s="444" t="s">
        <v>1679</v>
      </c>
      <c r="J79" s="10" t="s">
        <v>1680</v>
      </c>
      <c r="K79" s="444" t="s">
        <v>1681</v>
      </c>
      <c r="L79" s="10" t="s">
        <v>1682</v>
      </c>
      <c r="M79" s="445" t="s">
        <v>1683</v>
      </c>
      <c r="N79" s="10" t="s">
        <v>1684</v>
      </c>
      <c r="O79" s="12" t="s">
        <v>684</v>
      </c>
      <c r="P79" s="450" t="s">
        <v>2028</v>
      </c>
      <c r="Q79" s="451" t="s">
        <v>2327</v>
      </c>
      <c r="R79" s="10" t="s">
        <v>2457</v>
      </c>
      <c r="S79" s="12" t="s">
        <v>104</v>
      </c>
      <c r="T79" s="10" t="s">
        <v>1826</v>
      </c>
      <c r="U79" s="833" t="s">
        <v>3462</v>
      </c>
      <c r="V79" s="10" t="s">
        <v>2635</v>
      </c>
      <c r="W79" s="444" t="s">
        <v>2781</v>
      </c>
      <c r="X79" s="10" t="s">
        <v>3219</v>
      </c>
    </row>
    <row r="80" spans="1:24" ht="17.5">
      <c r="A80" s="12" t="s">
        <v>1491</v>
      </c>
      <c r="B80" s="10" t="s">
        <v>1491</v>
      </c>
      <c r="C80" s="12">
        <f>'Language 3'!C80</f>
        <v>0</v>
      </c>
      <c r="D80" s="10" t="s">
        <v>861</v>
      </c>
      <c r="E80" s="12" t="s">
        <v>279</v>
      </c>
      <c r="F80" s="10" t="s">
        <v>1421</v>
      </c>
      <c r="G80" s="12" t="s">
        <v>35</v>
      </c>
      <c r="H80" s="10" t="s">
        <v>1713</v>
      </c>
      <c r="I80" s="444" t="s">
        <v>1167</v>
      </c>
      <c r="J80" s="10" t="s">
        <v>1054</v>
      </c>
      <c r="K80" s="444" t="s">
        <v>1227</v>
      </c>
      <c r="L80" s="10" t="s">
        <v>110</v>
      </c>
      <c r="M80" s="445" t="s">
        <v>515</v>
      </c>
      <c r="N80" s="10" t="s">
        <v>985</v>
      </c>
      <c r="O80" s="12" t="s">
        <v>258</v>
      </c>
      <c r="P80" s="450" t="s">
        <v>415</v>
      </c>
      <c r="Q80" s="451" t="s">
        <v>2328</v>
      </c>
      <c r="R80" s="10" t="s">
        <v>2458</v>
      </c>
      <c r="S80" s="12" t="s">
        <v>1036</v>
      </c>
      <c r="T80" s="10" t="s">
        <v>1827</v>
      </c>
      <c r="U80" s="833" t="s">
        <v>3463</v>
      </c>
      <c r="V80" s="10" t="s">
        <v>2636</v>
      </c>
      <c r="W80" s="444" t="s">
        <v>2782</v>
      </c>
      <c r="X80" s="10" t="s">
        <v>3220</v>
      </c>
    </row>
    <row r="81" spans="1:56" ht="25">
      <c r="A81" s="12" t="s">
        <v>1624</v>
      </c>
      <c r="B81" s="10" t="s">
        <v>1624</v>
      </c>
      <c r="C81" s="12">
        <f>'Language 3'!C81</f>
        <v>0</v>
      </c>
      <c r="D81" s="10" t="s">
        <v>862</v>
      </c>
      <c r="E81" s="12" t="s">
        <v>280</v>
      </c>
      <c r="F81" s="10" t="s">
        <v>692</v>
      </c>
      <c r="G81" s="12" t="s">
        <v>886</v>
      </c>
      <c r="H81" s="10" t="s">
        <v>1714</v>
      </c>
      <c r="I81" s="444" t="s">
        <v>1168</v>
      </c>
      <c r="J81" s="10" t="s">
        <v>1055</v>
      </c>
      <c r="K81" s="444" t="s">
        <v>1228</v>
      </c>
      <c r="L81" s="10" t="s">
        <v>111</v>
      </c>
      <c r="M81" s="445" t="s">
        <v>516</v>
      </c>
      <c r="N81" s="10" t="s">
        <v>273</v>
      </c>
      <c r="O81" s="12" t="s">
        <v>259</v>
      </c>
      <c r="P81" s="450" t="s">
        <v>416</v>
      </c>
      <c r="Q81" s="451" t="s">
        <v>416</v>
      </c>
      <c r="R81" s="10" t="s">
        <v>2459</v>
      </c>
      <c r="S81" s="12" t="s">
        <v>1413</v>
      </c>
      <c r="T81" s="10" t="s">
        <v>1828</v>
      </c>
      <c r="U81" s="833" t="s">
        <v>3464</v>
      </c>
      <c r="V81" s="10" t="s">
        <v>2637</v>
      </c>
      <c r="W81" s="444" t="s">
        <v>2783</v>
      </c>
      <c r="X81" s="10" t="s">
        <v>3221</v>
      </c>
    </row>
    <row r="82" spans="1:56" s="462" customFormat="1" ht="50">
      <c r="A82" s="12" t="s">
        <v>1193</v>
      </c>
      <c r="B82" s="10" t="s">
        <v>1193</v>
      </c>
      <c r="C82" s="12">
        <f>'Language 3'!C82</f>
        <v>0</v>
      </c>
      <c r="D82" s="10" t="s">
        <v>863</v>
      </c>
      <c r="E82" s="12" t="s">
        <v>1706</v>
      </c>
      <c r="F82" s="10" t="s">
        <v>707</v>
      </c>
      <c r="G82" s="12" t="s">
        <v>887</v>
      </c>
      <c r="H82" s="10" t="s">
        <v>1715</v>
      </c>
      <c r="I82" s="444" t="s">
        <v>1169</v>
      </c>
      <c r="J82" s="10" t="s">
        <v>1056</v>
      </c>
      <c r="K82" s="444" t="s">
        <v>1239</v>
      </c>
      <c r="L82" s="10" t="s">
        <v>112</v>
      </c>
      <c r="M82" s="445" t="s">
        <v>517</v>
      </c>
      <c r="N82" s="10" t="s">
        <v>1965</v>
      </c>
      <c r="O82" s="12" t="s">
        <v>260</v>
      </c>
      <c r="P82" s="454" t="s">
        <v>2029</v>
      </c>
      <c r="Q82" s="451" t="s">
        <v>2329</v>
      </c>
      <c r="R82" s="10" t="s">
        <v>2460</v>
      </c>
      <c r="S82" s="12" t="s">
        <v>1037</v>
      </c>
      <c r="T82" s="10" t="s">
        <v>1829</v>
      </c>
      <c r="U82" s="833" t="s">
        <v>3465</v>
      </c>
      <c r="V82" s="10" t="s">
        <v>2638</v>
      </c>
      <c r="W82" s="444" t="s">
        <v>2784</v>
      </c>
      <c r="X82" s="10" t="s">
        <v>3222</v>
      </c>
      <c r="Y82" s="449"/>
      <c r="Z82" s="449"/>
      <c r="AA82" s="449"/>
      <c r="AB82" s="449"/>
      <c r="AC82" s="449"/>
      <c r="AD82" s="449"/>
      <c r="AE82" s="449"/>
      <c r="AF82" s="449"/>
      <c r="AG82" s="449"/>
      <c r="AH82" s="449"/>
      <c r="AI82" s="449"/>
      <c r="AJ82" s="449"/>
      <c r="AK82" s="449"/>
      <c r="AL82" s="449"/>
      <c r="AM82" s="449"/>
      <c r="AN82" s="449"/>
      <c r="AO82" s="449"/>
      <c r="AP82" s="449"/>
      <c r="AQ82" s="449"/>
      <c r="AR82" s="449"/>
      <c r="AS82" s="449"/>
      <c r="AT82" s="449"/>
      <c r="AU82" s="449"/>
      <c r="AV82" s="449"/>
      <c r="AW82" s="449"/>
      <c r="AX82" s="449"/>
      <c r="AY82" s="449"/>
      <c r="AZ82" s="449"/>
      <c r="BA82" s="449"/>
      <c r="BB82" s="449"/>
      <c r="BC82" s="449"/>
      <c r="BD82" s="449"/>
    </row>
    <row r="83" spans="1:56" ht="17.5">
      <c r="A83" s="12" t="s">
        <v>1625</v>
      </c>
      <c r="B83" s="10" t="s">
        <v>1625</v>
      </c>
      <c r="C83" s="12">
        <f>'Language 3'!C83</f>
        <v>0</v>
      </c>
      <c r="D83" s="10" t="s">
        <v>1194</v>
      </c>
      <c r="E83" s="12" t="s">
        <v>213</v>
      </c>
      <c r="F83" s="10" t="s">
        <v>693</v>
      </c>
      <c r="G83" s="12" t="s">
        <v>888</v>
      </c>
      <c r="H83" s="10" t="s">
        <v>1625</v>
      </c>
      <c r="I83" s="444" t="s">
        <v>1240</v>
      </c>
      <c r="J83" s="10" t="s">
        <v>1625</v>
      </c>
      <c r="K83" s="444" t="s">
        <v>1240</v>
      </c>
      <c r="L83" s="10" t="s">
        <v>888</v>
      </c>
      <c r="M83" s="445" t="s">
        <v>518</v>
      </c>
      <c r="N83" s="10" t="s">
        <v>1199</v>
      </c>
      <c r="O83" s="12" t="s">
        <v>261</v>
      </c>
      <c r="P83" s="463" t="s">
        <v>417</v>
      </c>
      <c r="Q83" s="464" t="s">
        <v>417</v>
      </c>
      <c r="R83" s="10" t="s">
        <v>2461</v>
      </c>
      <c r="S83" s="12" t="s">
        <v>1414</v>
      </c>
      <c r="T83" s="10" t="s">
        <v>261</v>
      </c>
      <c r="U83" s="833" t="s">
        <v>12</v>
      </c>
      <c r="V83" s="10" t="s">
        <v>2639</v>
      </c>
      <c r="W83" s="444" t="s">
        <v>2785</v>
      </c>
      <c r="X83" s="10" t="s">
        <v>3223</v>
      </c>
    </row>
    <row r="84" spans="1:56" ht="17.5">
      <c r="A84" s="12" t="s">
        <v>1626</v>
      </c>
      <c r="B84" s="10" t="s">
        <v>1626</v>
      </c>
      <c r="C84" s="12">
        <f>'Language 3'!C84</f>
        <v>0</v>
      </c>
      <c r="D84" s="10" t="s">
        <v>864</v>
      </c>
      <c r="E84" s="12" t="s">
        <v>214</v>
      </c>
      <c r="F84" s="10" t="s">
        <v>694</v>
      </c>
      <c r="G84" s="12" t="s">
        <v>889</v>
      </c>
      <c r="H84" s="10" t="s">
        <v>1716</v>
      </c>
      <c r="I84" s="444" t="s">
        <v>1170</v>
      </c>
      <c r="J84" s="10" t="s">
        <v>732</v>
      </c>
      <c r="K84" s="444" t="s">
        <v>1241</v>
      </c>
      <c r="L84" s="10" t="s">
        <v>113</v>
      </c>
      <c r="M84" s="445" t="s">
        <v>519</v>
      </c>
      <c r="N84" s="10" t="s">
        <v>1200</v>
      </c>
      <c r="O84" s="12" t="s">
        <v>1415</v>
      </c>
      <c r="P84" s="450" t="s">
        <v>418</v>
      </c>
      <c r="Q84" s="451" t="s">
        <v>418</v>
      </c>
      <c r="R84" s="10" t="s">
        <v>2462</v>
      </c>
      <c r="S84" s="12" t="s">
        <v>1415</v>
      </c>
      <c r="T84" s="10" t="s">
        <v>1415</v>
      </c>
      <c r="U84" s="833" t="s">
        <v>1415</v>
      </c>
      <c r="V84" s="10" t="s">
        <v>2640</v>
      </c>
      <c r="W84" s="444" t="s">
        <v>2786</v>
      </c>
      <c r="X84" s="10" t="s">
        <v>3224</v>
      </c>
    </row>
    <row r="85" spans="1:56" ht="229.5" customHeight="1">
      <c r="A85" s="465" t="s">
        <v>1411</v>
      </c>
      <c r="B85" s="11" t="s">
        <v>1411</v>
      </c>
      <c r="C85" s="12">
        <f>'Language 3'!C85</f>
        <v>0</v>
      </c>
      <c r="D85" s="11" t="s">
        <v>865</v>
      </c>
      <c r="E85" s="465" t="s">
        <v>281</v>
      </c>
      <c r="F85" s="11" t="s">
        <v>1457</v>
      </c>
      <c r="G85" s="466" t="s">
        <v>1810</v>
      </c>
      <c r="H85" s="11" t="s">
        <v>1105</v>
      </c>
      <c r="I85" s="467" t="s">
        <v>1171</v>
      </c>
      <c r="J85" s="11" t="s">
        <v>606</v>
      </c>
      <c r="K85" s="468" t="s">
        <v>1242</v>
      </c>
      <c r="L85" s="11" t="s">
        <v>2161</v>
      </c>
      <c r="M85" s="445" t="s">
        <v>1208</v>
      </c>
      <c r="N85" s="11" t="s">
        <v>1275</v>
      </c>
      <c r="O85" s="465" t="s">
        <v>262</v>
      </c>
      <c r="P85" s="454" t="s">
        <v>2030</v>
      </c>
      <c r="Q85" s="451" t="s">
        <v>2330</v>
      </c>
      <c r="R85" s="11" t="s">
        <v>2463</v>
      </c>
      <c r="S85" s="465" t="s">
        <v>998</v>
      </c>
      <c r="T85" s="11" t="s">
        <v>1830</v>
      </c>
      <c r="U85" s="833" t="s">
        <v>3466</v>
      </c>
      <c r="V85" s="11" t="s">
        <v>2641</v>
      </c>
      <c r="W85" s="468" t="s">
        <v>2787</v>
      </c>
      <c r="X85" s="11" t="s">
        <v>3225</v>
      </c>
    </row>
    <row r="86" spans="1:56" ht="37.5">
      <c r="A86" s="12" t="s">
        <v>1412</v>
      </c>
      <c r="B86" s="10" t="s">
        <v>1412</v>
      </c>
      <c r="C86" s="12">
        <f>'Language 3'!C86</f>
        <v>0</v>
      </c>
      <c r="D86" s="10" t="s">
        <v>866</v>
      </c>
      <c r="E86" s="12" t="s">
        <v>215</v>
      </c>
      <c r="F86" s="10" t="s">
        <v>708</v>
      </c>
      <c r="G86" s="12" t="s">
        <v>890</v>
      </c>
      <c r="H86" s="10" t="s">
        <v>1106</v>
      </c>
      <c r="I86" s="444" t="s">
        <v>1172</v>
      </c>
      <c r="J86" s="10" t="s">
        <v>607</v>
      </c>
      <c r="K86" s="444" t="s">
        <v>1243</v>
      </c>
      <c r="L86" s="10" t="s">
        <v>2162</v>
      </c>
      <c r="M86" s="445" t="s">
        <v>520</v>
      </c>
      <c r="N86" s="10" t="s">
        <v>1276</v>
      </c>
      <c r="O86" s="12" t="s">
        <v>263</v>
      </c>
      <c r="P86" s="454" t="s">
        <v>2031</v>
      </c>
      <c r="Q86" s="451" t="s">
        <v>2331</v>
      </c>
      <c r="R86" s="10" t="s">
        <v>2464</v>
      </c>
      <c r="S86" s="12" t="s">
        <v>95</v>
      </c>
      <c r="T86" s="10" t="s">
        <v>1831</v>
      </c>
      <c r="U86" s="833" t="s">
        <v>13</v>
      </c>
      <c r="V86" s="10" t="s">
        <v>2642</v>
      </c>
      <c r="W86" s="444" t="s">
        <v>2788</v>
      </c>
      <c r="X86" s="10" t="s">
        <v>3226</v>
      </c>
    </row>
    <row r="87" spans="1:56" s="455" customFormat="1" ht="38.5">
      <c r="A87" s="12" t="s">
        <v>767</v>
      </c>
      <c r="B87" s="469" t="s">
        <v>767</v>
      </c>
      <c r="C87" s="12">
        <f>'Language 3'!C87</f>
        <v>0</v>
      </c>
      <c r="D87" s="470" t="s">
        <v>767</v>
      </c>
      <c r="E87" s="12" t="s">
        <v>1118</v>
      </c>
      <c r="F87" s="470" t="s">
        <v>767</v>
      </c>
      <c r="G87" s="12" t="s">
        <v>1109</v>
      </c>
      <c r="H87" s="10" t="s">
        <v>2901</v>
      </c>
      <c r="I87" s="453" t="s">
        <v>477</v>
      </c>
      <c r="J87" s="470" t="s">
        <v>767</v>
      </c>
      <c r="K87" s="444" t="s">
        <v>477</v>
      </c>
      <c r="L87" s="470" t="s">
        <v>767</v>
      </c>
      <c r="M87" s="471" t="s">
        <v>767</v>
      </c>
      <c r="N87" s="10" t="s">
        <v>314</v>
      </c>
      <c r="O87" s="12" t="s">
        <v>825</v>
      </c>
      <c r="P87" s="450" t="s">
        <v>2032</v>
      </c>
      <c r="Q87" s="451" t="s">
        <v>2332</v>
      </c>
      <c r="R87" s="10" t="s">
        <v>2465</v>
      </c>
      <c r="S87" s="12" t="s">
        <v>1416</v>
      </c>
      <c r="T87" s="10" t="s">
        <v>1832</v>
      </c>
      <c r="U87" s="833" t="s">
        <v>3467</v>
      </c>
      <c r="V87" s="10" t="s">
        <v>2643</v>
      </c>
      <c r="W87" s="444" t="s">
        <v>2789</v>
      </c>
      <c r="X87" s="10" t="s">
        <v>3227</v>
      </c>
      <c r="Y87" s="449"/>
      <c r="Z87" s="449"/>
      <c r="AA87" s="449"/>
      <c r="AB87" s="449"/>
      <c r="AC87" s="449"/>
      <c r="AD87" s="449"/>
      <c r="AE87" s="449"/>
      <c r="AF87" s="449"/>
      <c r="AG87" s="449"/>
      <c r="AH87" s="449"/>
      <c r="AI87" s="449"/>
      <c r="AJ87" s="449"/>
      <c r="AK87" s="449"/>
      <c r="AL87" s="449"/>
      <c r="AM87" s="449"/>
      <c r="AN87" s="449"/>
      <c r="AO87" s="449"/>
      <c r="AP87" s="449"/>
      <c r="AQ87" s="449"/>
      <c r="AR87" s="449"/>
      <c r="AS87" s="449"/>
      <c r="AT87" s="449"/>
      <c r="AU87" s="449"/>
      <c r="AV87" s="449"/>
      <c r="AW87" s="449"/>
      <c r="AX87" s="449"/>
      <c r="AY87" s="449"/>
      <c r="AZ87" s="449"/>
      <c r="BA87" s="449"/>
      <c r="BB87" s="449"/>
      <c r="BC87" s="449"/>
      <c r="BD87" s="449"/>
    </row>
    <row r="88" spans="1:56" ht="37.5">
      <c r="A88" s="12" t="s">
        <v>1490</v>
      </c>
      <c r="B88" s="10" t="s">
        <v>1490</v>
      </c>
      <c r="C88" s="12">
        <f>'Language 3'!C88</f>
        <v>0</v>
      </c>
      <c r="D88" s="10" t="s">
        <v>867</v>
      </c>
      <c r="E88" s="12" t="s">
        <v>216</v>
      </c>
      <c r="F88" s="10" t="s">
        <v>709</v>
      </c>
      <c r="G88" s="12" t="s">
        <v>891</v>
      </c>
      <c r="H88" s="10" t="s">
        <v>1107</v>
      </c>
      <c r="I88" s="444" t="s">
        <v>183</v>
      </c>
      <c r="J88" s="10" t="s">
        <v>608</v>
      </c>
      <c r="K88" s="444" t="s">
        <v>1244</v>
      </c>
      <c r="L88" s="10" t="s">
        <v>2163</v>
      </c>
      <c r="M88" s="12" t="s">
        <v>521</v>
      </c>
      <c r="N88" s="10" t="s">
        <v>1277</v>
      </c>
      <c r="O88" s="12" t="s">
        <v>264</v>
      </c>
      <c r="P88" s="454" t="s">
        <v>2033</v>
      </c>
      <c r="Q88" s="451" t="s">
        <v>2333</v>
      </c>
      <c r="R88" s="10" t="s">
        <v>2466</v>
      </c>
      <c r="S88" s="12" t="s">
        <v>96</v>
      </c>
      <c r="T88" s="10" t="s">
        <v>1833</v>
      </c>
      <c r="U88" s="833" t="s">
        <v>3468</v>
      </c>
      <c r="V88" s="10" t="s">
        <v>2644</v>
      </c>
      <c r="W88" s="444" t="s">
        <v>2790</v>
      </c>
      <c r="X88" s="10" t="s">
        <v>3228</v>
      </c>
    </row>
    <row r="89" spans="1:56" ht="37.5">
      <c r="A89" s="12" t="s">
        <v>1488</v>
      </c>
      <c r="B89" s="10" t="s">
        <v>1488</v>
      </c>
      <c r="C89" s="12">
        <f>'Language 3'!C89</f>
        <v>0</v>
      </c>
      <c r="D89" s="10" t="s">
        <v>868</v>
      </c>
      <c r="E89" s="12" t="s">
        <v>217</v>
      </c>
      <c r="F89" s="10" t="s">
        <v>695</v>
      </c>
      <c r="G89" s="12" t="s">
        <v>892</v>
      </c>
      <c r="H89" s="10" t="s">
        <v>1108</v>
      </c>
      <c r="I89" s="444" t="s">
        <v>184</v>
      </c>
      <c r="J89" s="10" t="s">
        <v>609</v>
      </c>
      <c r="K89" s="444" t="s">
        <v>1245</v>
      </c>
      <c r="L89" s="10" t="s">
        <v>2235</v>
      </c>
      <c r="M89" s="12" t="s">
        <v>522</v>
      </c>
      <c r="N89" s="10" t="s">
        <v>1966</v>
      </c>
      <c r="O89" s="12" t="s">
        <v>265</v>
      </c>
      <c r="P89" s="454" t="s">
        <v>2034</v>
      </c>
      <c r="Q89" s="451" t="s">
        <v>2334</v>
      </c>
      <c r="R89" s="10" t="s">
        <v>2467</v>
      </c>
      <c r="S89" s="12" t="s">
        <v>605</v>
      </c>
      <c r="T89" s="10" t="s">
        <v>265</v>
      </c>
      <c r="U89" s="833" t="s">
        <v>3469</v>
      </c>
      <c r="V89" s="10" t="s">
        <v>2645</v>
      </c>
      <c r="W89" s="444" t="s">
        <v>2791</v>
      </c>
      <c r="X89" s="10" t="s">
        <v>3229</v>
      </c>
    </row>
    <row r="90" spans="1:56" ht="25">
      <c r="A90" s="12" t="s">
        <v>1442</v>
      </c>
      <c r="B90" s="10" t="s">
        <v>1442</v>
      </c>
      <c r="C90" s="12">
        <f>'Language 3'!C90</f>
        <v>0</v>
      </c>
      <c r="D90" s="10" t="s">
        <v>869</v>
      </c>
      <c r="E90" s="12" t="s">
        <v>218</v>
      </c>
      <c r="F90" s="10" t="s">
        <v>696</v>
      </c>
      <c r="G90" s="12" t="s">
        <v>893</v>
      </c>
      <c r="H90" s="10" t="s">
        <v>2542</v>
      </c>
      <c r="I90" s="444" t="s">
        <v>185</v>
      </c>
      <c r="J90" s="10" t="s">
        <v>610</v>
      </c>
      <c r="K90" s="444" t="s">
        <v>1246</v>
      </c>
      <c r="L90" s="10" t="s">
        <v>2236</v>
      </c>
      <c r="M90" s="12" t="s">
        <v>523</v>
      </c>
      <c r="N90" s="10" t="s">
        <v>1967</v>
      </c>
      <c r="O90" s="12" t="s">
        <v>266</v>
      </c>
      <c r="P90" s="454" t="s">
        <v>2035</v>
      </c>
      <c r="Q90" s="451" t="s">
        <v>2335</v>
      </c>
      <c r="R90" s="10" t="s">
        <v>2468</v>
      </c>
      <c r="S90" s="12" t="s">
        <v>801</v>
      </c>
      <c r="T90" s="10" t="s">
        <v>1834</v>
      </c>
      <c r="U90" s="833" t="s">
        <v>3470</v>
      </c>
      <c r="V90" s="10" t="s">
        <v>2646</v>
      </c>
      <c r="W90" s="444" t="s">
        <v>2792</v>
      </c>
      <c r="X90" s="10" t="s">
        <v>3230</v>
      </c>
    </row>
    <row r="91" spans="1:56">
      <c r="A91" s="12" t="s">
        <v>1670</v>
      </c>
      <c r="B91" s="10" t="s">
        <v>1670</v>
      </c>
      <c r="C91" s="12">
        <f>'Language 3'!C91</f>
        <v>0</v>
      </c>
      <c r="D91" s="10" t="s">
        <v>1670</v>
      </c>
      <c r="E91" s="12" t="s">
        <v>1670</v>
      </c>
      <c r="F91" s="10" t="s">
        <v>1671</v>
      </c>
      <c r="G91" s="12" t="s">
        <v>1670</v>
      </c>
      <c r="H91" s="10" t="s">
        <v>1670</v>
      </c>
      <c r="I91" s="444" t="s">
        <v>1670</v>
      </c>
      <c r="J91" s="10" t="s">
        <v>1670</v>
      </c>
      <c r="K91" s="444" t="s">
        <v>1670</v>
      </c>
      <c r="L91" s="10" t="s">
        <v>1670</v>
      </c>
      <c r="M91" s="12" t="s">
        <v>2159</v>
      </c>
      <c r="N91" s="10" t="s">
        <v>1672</v>
      </c>
      <c r="O91" s="12" t="s">
        <v>1670</v>
      </c>
      <c r="P91" s="450" t="s">
        <v>387</v>
      </c>
      <c r="Q91" s="451" t="s">
        <v>2336</v>
      </c>
      <c r="R91" s="10" t="s">
        <v>1670</v>
      </c>
      <c r="S91" s="12" t="s">
        <v>1670</v>
      </c>
      <c r="T91" s="10" t="s">
        <v>1670</v>
      </c>
      <c r="U91" s="833" t="s">
        <v>14</v>
      </c>
      <c r="V91" s="10" t="s">
        <v>2647</v>
      </c>
      <c r="W91" s="444" t="s">
        <v>2793</v>
      </c>
      <c r="X91" s="10" t="s">
        <v>1670</v>
      </c>
    </row>
    <row r="92" spans="1:56">
      <c r="A92" s="12" t="s">
        <v>1381</v>
      </c>
      <c r="B92" s="10" t="s">
        <v>1381</v>
      </c>
      <c r="C92" s="12">
        <f>'Language 3'!C92</f>
        <v>0</v>
      </c>
      <c r="D92" s="10" t="s">
        <v>870</v>
      </c>
      <c r="E92" s="12" t="s">
        <v>219</v>
      </c>
      <c r="F92" s="10" t="s">
        <v>697</v>
      </c>
      <c r="G92" s="12" t="s">
        <v>894</v>
      </c>
      <c r="H92" s="10" t="s">
        <v>2543</v>
      </c>
      <c r="I92" s="444" t="s">
        <v>186</v>
      </c>
      <c r="J92" s="10" t="s">
        <v>611</v>
      </c>
      <c r="K92" s="444" t="s">
        <v>1247</v>
      </c>
      <c r="L92" s="10" t="s">
        <v>2237</v>
      </c>
      <c r="M92" s="12" t="s">
        <v>524</v>
      </c>
      <c r="N92" s="10" t="s">
        <v>1278</v>
      </c>
      <c r="O92" s="12" t="s">
        <v>267</v>
      </c>
      <c r="P92" s="450" t="s">
        <v>419</v>
      </c>
      <c r="Q92" s="451" t="s">
        <v>2337</v>
      </c>
      <c r="R92" s="10" t="s">
        <v>2469</v>
      </c>
      <c r="S92" s="12" t="s">
        <v>97</v>
      </c>
      <c r="T92" s="10" t="s">
        <v>1835</v>
      </c>
      <c r="U92" s="833" t="s">
        <v>3471</v>
      </c>
      <c r="V92" s="10" t="s">
        <v>2648</v>
      </c>
      <c r="W92" s="444" t="s">
        <v>2794</v>
      </c>
      <c r="X92" s="10" t="s">
        <v>3231</v>
      </c>
    </row>
    <row r="93" spans="1:56" ht="25">
      <c r="A93" s="12" t="s">
        <v>1380</v>
      </c>
      <c r="B93" s="10" t="s">
        <v>1380</v>
      </c>
      <c r="C93" s="12">
        <f>'Language 3'!C93</f>
        <v>0</v>
      </c>
      <c r="D93" s="10" t="s">
        <v>871</v>
      </c>
      <c r="E93" s="12" t="s">
        <v>220</v>
      </c>
      <c r="F93" s="10" t="s">
        <v>698</v>
      </c>
      <c r="G93" s="12" t="s">
        <v>895</v>
      </c>
      <c r="H93" s="10" t="s">
        <v>2544</v>
      </c>
      <c r="I93" s="444" t="s">
        <v>187</v>
      </c>
      <c r="J93" s="10" t="s">
        <v>612</v>
      </c>
      <c r="K93" s="444" t="s">
        <v>1248</v>
      </c>
      <c r="L93" s="10" t="s">
        <v>2238</v>
      </c>
      <c r="M93" s="12" t="s">
        <v>525</v>
      </c>
      <c r="N93" s="10" t="s">
        <v>1279</v>
      </c>
      <c r="O93" s="12" t="s">
        <v>268</v>
      </c>
      <c r="P93" s="450" t="s">
        <v>420</v>
      </c>
      <c r="Q93" s="451" t="s">
        <v>2338</v>
      </c>
      <c r="R93" s="10" t="s">
        <v>420</v>
      </c>
      <c r="S93" s="12" t="s">
        <v>802</v>
      </c>
      <c r="T93" s="10" t="s">
        <v>1836</v>
      </c>
      <c r="U93" s="833" t="s">
        <v>3472</v>
      </c>
      <c r="V93" s="10" t="s">
        <v>2649</v>
      </c>
      <c r="W93" s="444" t="s">
        <v>2795</v>
      </c>
      <c r="X93" s="10" t="s">
        <v>3232</v>
      </c>
    </row>
    <row r="94" spans="1:56" ht="25">
      <c r="A94" s="12" t="s">
        <v>714</v>
      </c>
      <c r="B94" s="10" t="s">
        <v>1141</v>
      </c>
      <c r="C94" s="12">
        <f>'Language 3'!C94</f>
        <v>0</v>
      </c>
      <c r="D94" s="10" t="s">
        <v>872</v>
      </c>
      <c r="E94" s="12" t="s">
        <v>282</v>
      </c>
      <c r="F94" s="10" t="s">
        <v>1636</v>
      </c>
      <c r="G94" s="12" t="s">
        <v>1637</v>
      </c>
      <c r="H94" s="10" t="s">
        <v>785</v>
      </c>
      <c r="I94" s="444" t="s">
        <v>1638</v>
      </c>
      <c r="J94" s="10" t="s">
        <v>1173</v>
      </c>
      <c r="K94" s="444" t="s">
        <v>1249</v>
      </c>
      <c r="L94" s="10" t="s">
        <v>2239</v>
      </c>
      <c r="M94" s="12" t="s">
        <v>526</v>
      </c>
      <c r="N94" s="10" t="s">
        <v>1280</v>
      </c>
      <c r="O94" s="12" t="s">
        <v>269</v>
      </c>
      <c r="P94" s="450" t="s">
        <v>2036</v>
      </c>
      <c r="Q94" s="451" t="s">
        <v>2339</v>
      </c>
      <c r="R94" s="10" t="s">
        <v>2470</v>
      </c>
      <c r="S94" s="12" t="s">
        <v>1417</v>
      </c>
      <c r="T94" s="10" t="s">
        <v>1837</v>
      </c>
      <c r="U94" s="833" t="s">
        <v>3473</v>
      </c>
      <c r="V94" s="10" t="s">
        <v>2650</v>
      </c>
      <c r="W94" s="444" t="s">
        <v>2796</v>
      </c>
      <c r="X94" s="10" t="s">
        <v>3233</v>
      </c>
    </row>
    <row r="95" spans="1:56" ht="25">
      <c r="A95" s="12" t="s">
        <v>759</v>
      </c>
      <c r="B95" s="10" t="s">
        <v>759</v>
      </c>
      <c r="C95" s="12">
        <f>'Language 3'!C95</f>
        <v>0</v>
      </c>
      <c r="D95" s="10" t="s">
        <v>759</v>
      </c>
      <c r="E95" s="12" t="s">
        <v>760</v>
      </c>
      <c r="F95" s="10" t="s">
        <v>761</v>
      </c>
      <c r="G95" s="12" t="s">
        <v>762</v>
      </c>
      <c r="H95" s="10" t="s">
        <v>759</v>
      </c>
      <c r="I95" s="444" t="s">
        <v>759</v>
      </c>
      <c r="J95" s="10" t="s">
        <v>763</v>
      </c>
      <c r="K95" s="444" t="s">
        <v>759</v>
      </c>
      <c r="L95" s="10" t="s">
        <v>764</v>
      </c>
      <c r="M95" s="12" t="s">
        <v>765</v>
      </c>
      <c r="N95" s="10" t="s">
        <v>766</v>
      </c>
      <c r="O95" s="12" t="s">
        <v>1838</v>
      </c>
      <c r="P95" s="450" t="s">
        <v>421</v>
      </c>
      <c r="Q95" s="451" t="s">
        <v>2340</v>
      </c>
      <c r="R95" s="10" t="s">
        <v>2471</v>
      </c>
      <c r="S95" s="12" t="s">
        <v>1418</v>
      </c>
      <c r="T95" s="10" t="s">
        <v>1838</v>
      </c>
      <c r="U95" s="833" t="s">
        <v>3474</v>
      </c>
      <c r="V95" s="10" t="s">
        <v>2651</v>
      </c>
      <c r="W95" s="444" t="s">
        <v>2797</v>
      </c>
      <c r="X95" s="10" t="s">
        <v>3234</v>
      </c>
    </row>
    <row r="96" spans="1:56" ht="25">
      <c r="A96" s="12" t="s">
        <v>715</v>
      </c>
      <c r="B96" s="10" t="s">
        <v>1142</v>
      </c>
      <c r="C96" s="12">
        <f>'Language 3'!C96</f>
        <v>0</v>
      </c>
      <c r="D96" s="10" t="s">
        <v>873</v>
      </c>
      <c r="E96" s="12" t="s">
        <v>221</v>
      </c>
      <c r="F96" s="10" t="s">
        <v>1639</v>
      </c>
      <c r="G96" s="12" t="s">
        <v>599</v>
      </c>
      <c r="H96" s="10" t="s">
        <v>2545</v>
      </c>
      <c r="I96" s="444" t="s">
        <v>598</v>
      </c>
      <c r="J96" s="10" t="s">
        <v>1174</v>
      </c>
      <c r="K96" s="444" t="s">
        <v>597</v>
      </c>
      <c r="L96" s="10" t="s">
        <v>2240</v>
      </c>
      <c r="M96" s="12" t="s">
        <v>527</v>
      </c>
      <c r="N96" s="10" t="s">
        <v>1968</v>
      </c>
      <c r="O96" s="12" t="s">
        <v>270</v>
      </c>
      <c r="P96" s="450" t="s">
        <v>2037</v>
      </c>
      <c r="Q96" s="451" t="s">
        <v>2341</v>
      </c>
      <c r="R96" s="10" t="s">
        <v>2472</v>
      </c>
      <c r="S96" s="12" t="s">
        <v>1419</v>
      </c>
      <c r="T96" s="10" t="s">
        <v>1839</v>
      </c>
      <c r="U96" s="833" t="s">
        <v>3475</v>
      </c>
      <c r="V96" s="10" t="s">
        <v>2652</v>
      </c>
      <c r="W96" s="444" t="s">
        <v>2798</v>
      </c>
      <c r="X96" s="10" t="s">
        <v>3235</v>
      </c>
    </row>
    <row r="97" spans="1:24" ht="25">
      <c r="A97" s="12" t="s">
        <v>716</v>
      </c>
      <c r="B97" s="10" t="s">
        <v>1143</v>
      </c>
      <c r="C97" s="12">
        <f>'Language 3'!C97</f>
        <v>0</v>
      </c>
      <c r="D97" s="10" t="s">
        <v>874</v>
      </c>
      <c r="E97" s="12" t="s">
        <v>222</v>
      </c>
      <c r="F97" s="10" t="s">
        <v>602</v>
      </c>
      <c r="G97" s="12" t="s">
        <v>1640</v>
      </c>
      <c r="H97" s="10" t="s">
        <v>2546</v>
      </c>
      <c r="I97" s="444" t="s">
        <v>601</v>
      </c>
      <c r="J97" s="10" t="s">
        <v>1175</v>
      </c>
      <c r="K97" s="444" t="s">
        <v>600</v>
      </c>
      <c r="L97" s="10" t="s">
        <v>2241</v>
      </c>
      <c r="M97" s="12" t="s">
        <v>528</v>
      </c>
      <c r="N97" s="10" t="s">
        <v>1969</v>
      </c>
      <c r="O97" s="12" t="s">
        <v>269</v>
      </c>
      <c r="P97" s="450" t="s">
        <v>2038</v>
      </c>
      <c r="Q97" s="451" t="s">
        <v>2342</v>
      </c>
      <c r="R97" s="10" t="s">
        <v>2473</v>
      </c>
      <c r="S97" s="12" t="s">
        <v>98</v>
      </c>
      <c r="T97" s="10" t="s">
        <v>1840</v>
      </c>
      <c r="U97" s="833" t="s">
        <v>3476</v>
      </c>
      <c r="V97" s="10" t="s">
        <v>2653</v>
      </c>
      <c r="W97" s="444" t="s">
        <v>2799</v>
      </c>
      <c r="X97" s="10" t="s">
        <v>3236</v>
      </c>
    </row>
    <row r="98" spans="1:24" ht="37.5">
      <c r="A98" s="12" t="s">
        <v>758</v>
      </c>
      <c r="B98" s="10" t="s">
        <v>757</v>
      </c>
      <c r="C98" s="12">
        <f>'Language 3'!C98</f>
        <v>0</v>
      </c>
      <c r="D98" s="10" t="s">
        <v>756</v>
      </c>
      <c r="E98" s="12" t="s">
        <v>755</v>
      </c>
      <c r="F98" s="10" t="s">
        <v>1703</v>
      </c>
      <c r="G98" s="12" t="s">
        <v>1702</v>
      </c>
      <c r="H98" s="10" t="s">
        <v>1701</v>
      </c>
      <c r="I98" s="444" t="s">
        <v>1700</v>
      </c>
      <c r="J98" s="10" t="s">
        <v>1699</v>
      </c>
      <c r="K98" s="444" t="s">
        <v>1698</v>
      </c>
      <c r="L98" s="10" t="s">
        <v>1697</v>
      </c>
      <c r="M98" s="12" t="s">
        <v>1696</v>
      </c>
      <c r="N98" s="10" t="s">
        <v>1695</v>
      </c>
      <c r="O98" s="12" t="s">
        <v>685</v>
      </c>
      <c r="P98" s="454" t="s">
        <v>2039</v>
      </c>
      <c r="Q98" s="451" t="s">
        <v>2343</v>
      </c>
      <c r="R98" s="10" t="s">
        <v>2474</v>
      </c>
      <c r="S98" s="12" t="s">
        <v>99</v>
      </c>
      <c r="T98" s="10" t="s">
        <v>1841</v>
      </c>
      <c r="U98" s="833" t="s">
        <v>3477</v>
      </c>
      <c r="V98" s="10" t="s">
        <v>2707</v>
      </c>
      <c r="W98" s="444" t="s">
        <v>2800</v>
      </c>
      <c r="X98" s="10" t="s">
        <v>3237</v>
      </c>
    </row>
    <row r="99" spans="1:24" ht="37.5">
      <c r="A99" s="12" t="s">
        <v>1438</v>
      </c>
      <c r="B99" s="10" t="s">
        <v>1438</v>
      </c>
      <c r="C99" s="12">
        <f>'Language 3'!C99</f>
        <v>0</v>
      </c>
      <c r="D99" s="10" t="s">
        <v>875</v>
      </c>
      <c r="E99" s="12" t="s">
        <v>223</v>
      </c>
      <c r="F99" s="10" t="s">
        <v>699</v>
      </c>
      <c r="G99" s="12" t="s">
        <v>896</v>
      </c>
      <c r="H99" s="10" t="s">
        <v>2547</v>
      </c>
      <c r="I99" s="444" t="s">
        <v>188</v>
      </c>
      <c r="J99" s="10" t="s">
        <v>613</v>
      </c>
      <c r="K99" s="444" t="s">
        <v>1250</v>
      </c>
      <c r="L99" s="10" t="s">
        <v>2242</v>
      </c>
      <c r="M99" s="12" t="s">
        <v>529</v>
      </c>
      <c r="N99" s="10" t="s">
        <v>1281</v>
      </c>
      <c r="O99" s="12" t="s">
        <v>271</v>
      </c>
      <c r="P99" s="450" t="s">
        <v>2040</v>
      </c>
      <c r="Q99" s="451" t="s">
        <v>2344</v>
      </c>
      <c r="R99" s="10" t="s">
        <v>2475</v>
      </c>
      <c r="S99" s="12" t="s">
        <v>36</v>
      </c>
      <c r="T99" s="10" t="s">
        <v>1842</v>
      </c>
      <c r="U99" s="833" t="s">
        <v>3478</v>
      </c>
      <c r="V99" s="10" t="s">
        <v>2654</v>
      </c>
      <c r="W99" s="444" t="s">
        <v>2801</v>
      </c>
      <c r="X99" s="10" t="s">
        <v>3238</v>
      </c>
    </row>
    <row r="100" spans="1:24" ht="75">
      <c r="A100" s="12" t="s">
        <v>1439</v>
      </c>
      <c r="B100" s="10" t="s">
        <v>1439</v>
      </c>
      <c r="C100" s="12">
        <f>'Language 3'!C100</f>
        <v>0</v>
      </c>
      <c r="D100" s="10" t="s">
        <v>876</v>
      </c>
      <c r="E100" s="12" t="s">
        <v>224</v>
      </c>
      <c r="F100" s="10" t="s">
        <v>700</v>
      </c>
      <c r="G100" s="12" t="s">
        <v>897</v>
      </c>
      <c r="H100" s="10" t="s">
        <v>1997</v>
      </c>
      <c r="I100" s="453" t="s">
        <v>3066</v>
      </c>
      <c r="J100" s="10" t="s">
        <v>614</v>
      </c>
      <c r="K100" s="444" t="s">
        <v>2195</v>
      </c>
      <c r="L100" s="10" t="s">
        <v>2243</v>
      </c>
      <c r="M100" s="12" t="s">
        <v>530</v>
      </c>
      <c r="N100" s="10" t="s">
        <v>1282</v>
      </c>
      <c r="O100" s="12" t="s">
        <v>272</v>
      </c>
      <c r="P100" s="450" t="s">
        <v>2041</v>
      </c>
      <c r="Q100" s="451" t="s">
        <v>2345</v>
      </c>
      <c r="R100" s="10" t="s">
        <v>2476</v>
      </c>
      <c r="S100" s="12" t="s">
        <v>37</v>
      </c>
      <c r="T100" s="10" t="s">
        <v>1843</v>
      </c>
      <c r="U100" s="833" t="s">
        <v>15</v>
      </c>
      <c r="V100" s="10" t="s">
        <v>2655</v>
      </c>
      <c r="W100" s="444" t="s">
        <v>2802</v>
      </c>
      <c r="X100" s="10" t="s">
        <v>3239</v>
      </c>
    </row>
    <row r="101" spans="1:24" ht="50">
      <c r="A101" s="12" t="s">
        <v>1144</v>
      </c>
      <c r="B101" s="10" t="s">
        <v>1144</v>
      </c>
      <c r="C101" s="12">
        <f>'Language 3'!C101</f>
        <v>0</v>
      </c>
      <c r="D101" s="10" t="s">
        <v>877</v>
      </c>
      <c r="E101" s="12" t="s">
        <v>225</v>
      </c>
      <c r="F101" s="10" t="s">
        <v>701</v>
      </c>
      <c r="G101" s="12" t="s">
        <v>898</v>
      </c>
      <c r="H101" s="10" t="s">
        <v>1998</v>
      </c>
      <c r="I101" s="444" t="s">
        <v>189</v>
      </c>
      <c r="J101" s="10" t="s">
        <v>615</v>
      </c>
      <c r="K101" s="444" t="s">
        <v>2196</v>
      </c>
      <c r="L101" s="10" t="s">
        <v>2244</v>
      </c>
      <c r="M101" s="12" t="s">
        <v>531</v>
      </c>
      <c r="N101" s="10" t="s">
        <v>1283</v>
      </c>
      <c r="O101" s="12" t="s">
        <v>1321</v>
      </c>
      <c r="P101" s="450" t="s">
        <v>2042</v>
      </c>
      <c r="Q101" s="451" t="s">
        <v>2346</v>
      </c>
      <c r="R101" s="10" t="s">
        <v>2477</v>
      </c>
      <c r="S101" s="12" t="s">
        <v>1001</v>
      </c>
      <c r="T101" s="10" t="s">
        <v>1844</v>
      </c>
      <c r="U101" s="833" t="s">
        <v>3479</v>
      </c>
      <c r="V101" s="10" t="s">
        <v>2656</v>
      </c>
      <c r="W101" s="444" t="s">
        <v>2803</v>
      </c>
      <c r="X101" s="10" t="s">
        <v>3240</v>
      </c>
    </row>
    <row r="102" spans="1:24" ht="37.5">
      <c r="A102" s="12" t="s">
        <v>1145</v>
      </c>
      <c r="B102" s="10" t="s">
        <v>1145</v>
      </c>
      <c r="C102" s="12">
        <f>'Language 3'!C102</f>
        <v>0</v>
      </c>
      <c r="D102" s="10" t="s">
        <v>878</v>
      </c>
      <c r="E102" s="12" t="s">
        <v>226</v>
      </c>
      <c r="F102" s="10" t="s">
        <v>1779</v>
      </c>
      <c r="G102" s="12" t="s">
        <v>899</v>
      </c>
      <c r="H102" s="10" t="s">
        <v>942</v>
      </c>
      <c r="I102" s="444" t="s">
        <v>190</v>
      </c>
      <c r="J102" s="10" t="s">
        <v>616</v>
      </c>
      <c r="K102" s="444" t="s">
        <v>2197</v>
      </c>
      <c r="L102" s="10" t="s">
        <v>2245</v>
      </c>
      <c r="M102" s="12" t="s">
        <v>532</v>
      </c>
      <c r="N102" s="10" t="s">
        <v>753</v>
      </c>
      <c r="O102" s="12" t="s">
        <v>1322</v>
      </c>
      <c r="P102" s="454" t="s">
        <v>2043</v>
      </c>
      <c r="Q102" s="451" t="s">
        <v>2347</v>
      </c>
      <c r="R102" s="10" t="s">
        <v>2478</v>
      </c>
      <c r="S102" s="12" t="s">
        <v>999</v>
      </c>
      <c r="T102" s="10" t="s">
        <v>1845</v>
      </c>
      <c r="U102" s="833" t="s">
        <v>3480</v>
      </c>
      <c r="V102" s="10" t="s">
        <v>2657</v>
      </c>
      <c r="W102" s="444" t="s">
        <v>2804</v>
      </c>
      <c r="X102" s="10" t="s">
        <v>3241</v>
      </c>
    </row>
    <row r="103" spans="1:24" ht="62.5">
      <c r="A103" s="12" t="s">
        <v>142</v>
      </c>
      <c r="B103" s="10" t="s">
        <v>142</v>
      </c>
      <c r="C103" s="12">
        <f>'Language 3'!C103</f>
        <v>0</v>
      </c>
      <c r="D103" s="10" t="s">
        <v>879</v>
      </c>
      <c r="E103" s="12" t="s">
        <v>143</v>
      </c>
      <c r="F103" s="10" t="s">
        <v>536</v>
      </c>
      <c r="G103" s="12" t="s">
        <v>55</v>
      </c>
      <c r="H103" s="10" t="s">
        <v>943</v>
      </c>
      <c r="I103" s="444" t="s">
        <v>191</v>
      </c>
      <c r="J103" s="10" t="s">
        <v>617</v>
      </c>
      <c r="K103" s="444" t="s">
        <v>2172</v>
      </c>
      <c r="L103" s="10" t="s">
        <v>2246</v>
      </c>
      <c r="M103" s="12" t="s">
        <v>533</v>
      </c>
      <c r="N103" s="10" t="s">
        <v>494</v>
      </c>
      <c r="O103" s="12" t="s">
        <v>1323</v>
      </c>
      <c r="P103" s="450" t="s">
        <v>2044</v>
      </c>
      <c r="Q103" s="451" t="s">
        <v>2348</v>
      </c>
      <c r="R103" s="10" t="s">
        <v>2479</v>
      </c>
      <c r="S103" s="12" t="s">
        <v>1002</v>
      </c>
      <c r="T103" s="10" t="s">
        <v>1846</v>
      </c>
      <c r="U103" s="833" t="s">
        <v>3481</v>
      </c>
      <c r="V103" s="10" t="s">
        <v>2658</v>
      </c>
      <c r="W103" s="444" t="s">
        <v>2805</v>
      </c>
      <c r="X103" s="10" t="s">
        <v>3242</v>
      </c>
    </row>
    <row r="104" spans="1:24" ht="37.5">
      <c r="A104" s="12" t="s">
        <v>1442</v>
      </c>
      <c r="B104" s="10" t="s">
        <v>1442</v>
      </c>
      <c r="C104" s="12">
        <f>'Language 3'!C104</f>
        <v>0</v>
      </c>
      <c r="D104" s="10" t="s">
        <v>878</v>
      </c>
      <c r="E104" s="12" t="s">
        <v>218</v>
      </c>
      <c r="F104" s="10" t="s">
        <v>696</v>
      </c>
      <c r="G104" s="12" t="s">
        <v>900</v>
      </c>
      <c r="H104" s="10" t="s">
        <v>2542</v>
      </c>
      <c r="I104" s="444" t="s">
        <v>185</v>
      </c>
      <c r="J104" s="10" t="s">
        <v>610</v>
      </c>
      <c r="K104" s="444" t="s">
        <v>1246</v>
      </c>
      <c r="L104" s="10" t="s">
        <v>2236</v>
      </c>
      <c r="M104" s="12" t="s">
        <v>534</v>
      </c>
      <c r="N104" s="10" t="s">
        <v>1970</v>
      </c>
      <c r="O104" s="12" t="s">
        <v>1324</v>
      </c>
      <c r="P104" s="454" t="s">
        <v>2045</v>
      </c>
      <c r="Q104" s="451" t="s">
        <v>2335</v>
      </c>
      <c r="R104" s="10" t="s">
        <v>2468</v>
      </c>
      <c r="S104" s="12" t="s">
        <v>1000</v>
      </c>
      <c r="T104" s="10" t="s">
        <v>1834</v>
      </c>
      <c r="U104" s="833" t="s">
        <v>3470</v>
      </c>
      <c r="V104" s="10" t="s">
        <v>2659</v>
      </c>
      <c r="W104" s="444" t="s">
        <v>2792</v>
      </c>
      <c r="X104" s="10" t="s">
        <v>3230</v>
      </c>
    </row>
    <row r="105" spans="1:24" ht="25">
      <c r="A105" s="12" t="s">
        <v>1440</v>
      </c>
      <c r="B105" s="10" t="s">
        <v>1440</v>
      </c>
      <c r="C105" s="12">
        <f>'Language 3'!C105</f>
        <v>0</v>
      </c>
      <c r="D105" s="10" t="s">
        <v>880</v>
      </c>
      <c r="E105" s="12" t="s">
        <v>227</v>
      </c>
      <c r="F105" s="10" t="s">
        <v>1780</v>
      </c>
      <c r="G105" s="12" t="s">
        <v>901</v>
      </c>
      <c r="H105" s="10" t="s">
        <v>944</v>
      </c>
      <c r="I105" s="453" t="s">
        <v>3067</v>
      </c>
      <c r="J105" s="10" t="s">
        <v>618</v>
      </c>
      <c r="K105" s="444" t="s">
        <v>2173</v>
      </c>
      <c r="L105" s="10" t="s">
        <v>2247</v>
      </c>
      <c r="M105" s="12" t="s">
        <v>535</v>
      </c>
      <c r="N105" s="10" t="s">
        <v>1284</v>
      </c>
      <c r="O105" s="12" t="s">
        <v>1325</v>
      </c>
      <c r="P105" s="454" t="s">
        <v>2046</v>
      </c>
      <c r="Q105" s="451" t="s">
        <v>2349</v>
      </c>
      <c r="R105" s="10" t="s">
        <v>2480</v>
      </c>
      <c r="S105" s="12" t="s">
        <v>1003</v>
      </c>
      <c r="T105" s="10" t="s">
        <v>275</v>
      </c>
      <c r="U105" s="833" t="s">
        <v>3482</v>
      </c>
      <c r="V105" s="10" t="s">
        <v>2660</v>
      </c>
      <c r="W105" s="444" t="s">
        <v>2806</v>
      </c>
      <c r="X105" s="10" t="s">
        <v>3243</v>
      </c>
    </row>
    <row r="106" spans="1:24" ht="37.5">
      <c r="A106" s="12" t="s">
        <v>1441</v>
      </c>
      <c r="B106" s="10" t="s">
        <v>1441</v>
      </c>
      <c r="C106" s="12">
        <f>'Language 3'!C106</f>
        <v>0</v>
      </c>
      <c r="D106" s="10" t="s">
        <v>881</v>
      </c>
      <c r="E106" s="12" t="s">
        <v>228</v>
      </c>
      <c r="F106" s="10" t="s">
        <v>1781</v>
      </c>
      <c r="G106" s="12" t="s">
        <v>47</v>
      </c>
      <c r="H106" s="10" t="s">
        <v>702</v>
      </c>
      <c r="I106" s="444" t="s">
        <v>192</v>
      </c>
      <c r="J106" s="10" t="s">
        <v>619</v>
      </c>
      <c r="K106" s="444" t="s">
        <v>2174</v>
      </c>
      <c r="L106" s="10" t="s">
        <v>2248</v>
      </c>
      <c r="M106" s="12" t="s">
        <v>1587</v>
      </c>
      <c r="N106" s="10" t="s">
        <v>1971</v>
      </c>
      <c r="O106" s="12" t="s">
        <v>1326</v>
      </c>
      <c r="P106" s="450" t="s">
        <v>422</v>
      </c>
      <c r="Q106" s="451" t="s">
        <v>2350</v>
      </c>
      <c r="R106" s="10" t="s">
        <v>2481</v>
      </c>
      <c r="S106" s="12" t="s">
        <v>1004</v>
      </c>
      <c r="T106" s="10" t="s">
        <v>1847</v>
      </c>
      <c r="U106" s="833" t="s">
        <v>3483</v>
      </c>
      <c r="V106" s="10" t="s">
        <v>2661</v>
      </c>
      <c r="W106" s="444" t="s">
        <v>2807</v>
      </c>
      <c r="X106" s="10" t="s">
        <v>3244</v>
      </c>
    </row>
    <row r="107" spans="1:24" ht="25">
      <c r="A107" s="12" t="s">
        <v>289</v>
      </c>
      <c r="B107" s="10" t="s">
        <v>289</v>
      </c>
      <c r="C107" s="12">
        <f>'Language 3'!C107</f>
        <v>0</v>
      </c>
      <c r="D107" s="10" t="s">
        <v>1195</v>
      </c>
      <c r="E107" s="12" t="s">
        <v>2089</v>
      </c>
      <c r="F107" s="10" t="s">
        <v>177</v>
      </c>
      <c r="G107" s="12" t="s">
        <v>550</v>
      </c>
      <c r="H107" s="10" t="s">
        <v>703</v>
      </c>
      <c r="I107" s="444" t="s">
        <v>1196</v>
      </c>
      <c r="J107" s="10" t="s">
        <v>807</v>
      </c>
      <c r="K107" s="444" t="s">
        <v>2175</v>
      </c>
      <c r="L107" s="10" t="s">
        <v>2249</v>
      </c>
      <c r="M107" s="12" t="s">
        <v>1588</v>
      </c>
      <c r="N107" s="10" t="s">
        <v>1285</v>
      </c>
      <c r="O107" s="12" t="s">
        <v>1327</v>
      </c>
      <c r="P107" s="450" t="s">
        <v>423</v>
      </c>
      <c r="Q107" s="451" t="s">
        <v>2351</v>
      </c>
      <c r="R107" s="10" t="s">
        <v>2482</v>
      </c>
      <c r="S107" s="12" t="s">
        <v>2073</v>
      </c>
      <c r="T107" s="10" t="s">
        <v>1848</v>
      </c>
      <c r="U107" s="833" t="s">
        <v>3484</v>
      </c>
      <c r="V107" s="10" t="s">
        <v>2662</v>
      </c>
      <c r="W107" s="444" t="s">
        <v>2808</v>
      </c>
      <c r="X107" s="10" t="s">
        <v>3245</v>
      </c>
    </row>
    <row r="108" spans="1:24" ht="37.5">
      <c r="A108" s="12" t="s">
        <v>1685</v>
      </c>
      <c r="B108" s="10" t="s">
        <v>1685</v>
      </c>
      <c r="C108" s="12">
        <f>'Language 3'!C108</f>
        <v>0</v>
      </c>
      <c r="D108" s="10" t="s">
        <v>1686</v>
      </c>
      <c r="E108" s="12" t="s">
        <v>1687</v>
      </c>
      <c r="F108" s="10" t="s">
        <v>1688</v>
      </c>
      <c r="G108" s="12" t="s">
        <v>754</v>
      </c>
      <c r="H108" s="10" t="s">
        <v>1689</v>
      </c>
      <c r="I108" s="444" t="s">
        <v>1690</v>
      </c>
      <c r="J108" s="10" t="s">
        <v>1691</v>
      </c>
      <c r="K108" s="444" t="s">
        <v>3336</v>
      </c>
      <c r="L108" s="10" t="s">
        <v>1692</v>
      </c>
      <c r="M108" s="12" t="s">
        <v>1693</v>
      </c>
      <c r="N108" s="10" t="s">
        <v>1694</v>
      </c>
      <c r="O108" s="12" t="s">
        <v>686</v>
      </c>
      <c r="P108" s="450" t="s">
        <v>2047</v>
      </c>
      <c r="Q108" s="451" t="s">
        <v>2352</v>
      </c>
      <c r="R108" s="10" t="s">
        <v>2483</v>
      </c>
      <c r="S108" s="12" t="s">
        <v>2074</v>
      </c>
      <c r="T108" s="10" t="s">
        <v>1849</v>
      </c>
      <c r="U108" s="833" t="s">
        <v>3485</v>
      </c>
      <c r="V108" s="10" t="s">
        <v>2663</v>
      </c>
      <c r="W108" s="444" t="s">
        <v>2809</v>
      </c>
      <c r="X108" s="10" t="s">
        <v>3246</v>
      </c>
    </row>
    <row r="109" spans="1:24">
      <c r="A109" s="12" t="s">
        <v>1435</v>
      </c>
      <c r="B109" s="10" t="s">
        <v>1435</v>
      </c>
      <c r="C109" s="12">
        <f>'Language 3'!C109</f>
        <v>0</v>
      </c>
      <c r="D109" s="10" t="s">
        <v>1257</v>
      </c>
      <c r="E109" s="12" t="s">
        <v>442</v>
      </c>
      <c r="F109" s="10" t="s">
        <v>1641</v>
      </c>
      <c r="G109" s="12" t="s">
        <v>1642</v>
      </c>
      <c r="H109" s="10" t="s">
        <v>1900</v>
      </c>
      <c r="I109" s="444" t="s">
        <v>1258</v>
      </c>
      <c r="J109" s="10" t="s">
        <v>1176</v>
      </c>
      <c r="K109" s="444" t="s">
        <v>2176</v>
      </c>
      <c r="L109" s="10" t="s">
        <v>2250</v>
      </c>
      <c r="M109" s="12" t="s">
        <v>1589</v>
      </c>
      <c r="N109" s="10" t="s">
        <v>1286</v>
      </c>
      <c r="O109" s="12" t="s">
        <v>1328</v>
      </c>
      <c r="P109" s="450" t="s">
        <v>2048</v>
      </c>
      <c r="Q109" s="451" t="s">
        <v>2353</v>
      </c>
      <c r="R109" s="10" t="s">
        <v>2353</v>
      </c>
      <c r="S109" s="12" t="s">
        <v>2075</v>
      </c>
      <c r="T109" s="10" t="s">
        <v>1328</v>
      </c>
      <c r="U109" s="833" t="s">
        <v>16</v>
      </c>
      <c r="V109" s="10" t="s">
        <v>2664</v>
      </c>
      <c r="W109" s="444" t="s">
        <v>2810</v>
      </c>
      <c r="X109" s="10" t="s">
        <v>3247</v>
      </c>
    </row>
    <row r="110" spans="1:24" ht="25">
      <c r="A110" s="12" t="s">
        <v>1379</v>
      </c>
      <c r="B110" s="10" t="s">
        <v>1379</v>
      </c>
      <c r="C110" s="12">
        <f>'Language 3'!C110</f>
        <v>0</v>
      </c>
      <c r="D110" s="10" t="s">
        <v>1556</v>
      </c>
      <c r="E110" s="12" t="s">
        <v>443</v>
      </c>
      <c r="F110" s="10" t="s">
        <v>1782</v>
      </c>
      <c r="G110" s="12" t="s">
        <v>48</v>
      </c>
      <c r="H110" s="10" t="s">
        <v>3397</v>
      </c>
      <c r="I110" s="453" t="s">
        <v>3068</v>
      </c>
      <c r="J110" s="10" t="s">
        <v>808</v>
      </c>
      <c r="K110" s="444" t="s">
        <v>2177</v>
      </c>
      <c r="L110" s="10" t="s">
        <v>2251</v>
      </c>
      <c r="M110" s="12" t="s">
        <v>1590</v>
      </c>
      <c r="N110" s="10" t="s">
        <v>1287</v>
      </c>
      <c r="O110" s="12" t="s">
        <v>1329</v>
      </c>
      <c r="P110" s="450" t="s">
        <v>2049</v>
      </c>
      <c r="Q110" s="451" t="s">
        <v>2354</v>
      </c>
      <c r="R110" s="10" t="s">
        <v>2484</v>
      </c>
      <c r="S110" s="12" t="s">
        <v>1005</v>
      </c>
      <c r="T110" s="10" t="s">
        <v>1850</v>
      </c>
      <c r="U110" s="833" t="s">
        <v>3486</v>
      </c>
      <c r="V110" s="10" t="s">
        <v>2665</v>
      </c>
      <c r="W110" s="444" t="s">
        <v>2811</v>
      </c>
      <c r="X110" s="10" t="s">
        <v>3248</v>
      </c>
    </row>
    <row r="111" spans="1:24" ht="25">
      <c r="A111" s="12" t="s">
        <v>1434</v>
      </c>
      <c r="B111" s="10" t="s">
        <v>1434</v>
      </c>
      <c r="C111" s="12">
        <f>'Language 3'!C111</f>
        <v>0</v>
      </c>
      <c r="D111" s="10" t="s">
        <v>1557</v>
      </c>
      <c r="E111" s="12" t="s">
        <v>444</v>
      </c>
      <c r="F111" s="10" t="s">
        <v>1783</v>
      </c>
      <c r="G111" s="12" t="s">
        <v>49</v>
      </c>
      <c r="H111" s="10" t="s">
        <v>3398</v>
      </c>
      <c r="I111" s="453" t="s">
        <v>3069</v>
      </c>
      <c r="J111" s="10" t="s">
        <v>809</v>
      </c>
      <c r="K111" s="444" t="s">
        <v>2178</v>
      </c>
      <c r="L111" s="10" t="s">
        <v>2252</v>
      </c>
      <c r="M111" s="12" t="s">
        <v>1591</v>
      </c>
      <c r="N111" s="10" t="s">
        <v>902</v>
      </c>
      <c r="O111" s="12" t="s">
        <v>1330</v>
      </c>
      <c r="P111" s="450" t="s">
        <v>2050</v>
      </c>
      <c r="Q111" s="451" t="s">
        <v>2355</v>
      </c>
      <c r="R111" s="10" t="s">
        <v>2485</v>
      </c>
      <c r="S111" s="12" t="s">
        <v>1006</v>
      </c>
      <c r="T111" s="10" t="s">
        <v>1851</v>
      </c>
      <c r="U111" s="833" t="s">
        <v>3487</v>
      </c>
      <c r="V111" s="10" t="s">
        <v>2708</v>
      </c>
      <c r="W111" s="444" t="s">
        <v>2812</v>
      </c>
      <c r="X111" s="10" t="s">
        <v>3249</v>
      </c>
    </row>
    <row r="112" spans="1:24" ht="50">
      <c r="A112" s="12" t="s">
        <v>1436</v>
      </c>
      <c r="B112" s="10" t="s">
        <v>1436</v>
      </c>
      <c r="C112" s="12">
        <f>'Language 3'!C112</f>
        <v>0</v>
      </c>
      <c r="D112" s="10" t="s">
        <v>1558</v>
      </c>
      <c r="E112" s="12" t="s">
        <v>445</v>
      </c>
      <c r="F112" s="10" t="s">
        <v>537</v>
      </c>
      <c r="G112" s="12" t="s">
        <v>50</v>
      </c>
      <c r="H112" s="10" t="s">
        <v>1901</v>
      </c>
      <c r="I112" s="453" t="s">
        <v>3070</v>
      </c>
      <c r="J112" s="10" t="s">
        <v>2533</v>
      </c>
      <c r="K112" s="444" t="s">
        <v>2179</v>
      </c>
      <c r="L112" s="10" t="s">
        <v>2253</v>
      </c>
      <c r="M112" s="12" t="s">
        <v>1592</v>
      </c>
      <c r="N112" s="10" t="s">
        <v>903</v>
      </c>
      <c r="O112" s="12" t="s">
        <v>1331</v>
      </c>
      <c r="P112" s="450" t="s">
        <v>424</v>
      </c>
      <c r="Q112" s="451" t="s">
        <v>2356</v>
      </c>
      <c r="R112" s="10" t="s">
        <v>2486</v>
      </c>
      <c r="S112" s="12" t="s">
        <v>1007</v>
      </c>
      <c r="T112" s="10" t="s">
        <v>1852</v>
      </c>
      <c r="U112" s="833" t="s">
        <v>3488</v>
      </c>
      <c r="V112" s="10" t="s">
        <v>2666</v>
      </c>
      <c r="W112" s="444" t="s">
        <v>2813</v>
      </c>
      <c r="X112" s="10" t="s">
        <v>3250</v>
      </c>
    </row>
    <row r="113" spans="1:24">
      <c r="A113" s="12" t="s">
        <v>1291</v>
      </c>
      <c r="B113" s="10" t="s">
        <v>1291</v>
      </c>
      <c r="C113" s="12">
        <f>'Language 3'!C113</f>
        <v>0</v>
      </c>
      <c r="D113" s="10" t="s">
        <v>1559</v>
      </c>
      <c r="E113" s="12" t="s">
        <v>1292</v>
      </c>
      <c r="F113" s="10" t="s">
        <v>538</v>
      </c>
      <c r="G113" s="12" t="s">
        <v>51</v>
      </c>
      <c r="H113" s="10" t="s">
        <v>1291</v>
      </c>
      <c r="I113" s="453" t="s">
        <v>3071</v>
      </c>
      <c r="J113" s="10" t="s">
        <v>620</v>
      </c>
      <c r="K113" s="444" t="s">
        <v>2180</v>
      </c>
      <c r="L113" s="10" t="s">
        <v>2254</v>
      </c>
      <c r="M113" s="12" t="s">
        <v>1593</v>
      </c>
      <c r="N113" s="10" t="s">
        <v>904</v>
      </c>
      <c r="O113" s="12" t="s">
        <v>1332</v>
      </c>
      <c r="P113" s="450" t="s">
        <v>425</v>
      </c>
      <c r="Q113" s="451" t="s">
        <v>425</v>
      </c>
      <c r="R113" s="10" t="s">
        <v>2487</v>
      </c>
      <c r="S113" s="12" t="s">
        <v>2076</v>
      </c>
      <c r="T113" s="10" t="s">
        <v>1332</v>
      </c>
      <c r="U113" s="833" t="s">
        <v>17</v>
      </c>
      <c r="V113" s="10" t="s">
        <v>2667</v>
      </c>
      <c r="W113" s="444" t="s">
        <v>538</v>
      </c>
      <c r="X113" s="10" t="s">
        <v>3251</v>
      </c>
    </row>
    <row r="114" spans="1:24">
      <c r="A114" s="12" t="s">
        <v>1295</v>
      </c>
      <c r="B114" s="10" t="s">
        <v>1295</v>
      </c>
      <c r="C114" s="12">
        <f>'Language 3'!C114</f>
        <v>0</v>
      </c>
      <c r="D114" s="10" t="s">
        <v>1560</v>
      </c>
      <c r="E114" s="12" t="s">
        <v>1296</v>
      </c>
      <c r="F114" s="10" t="s">
        <v>539</v>
      </c>
      <c r="G114" s="12" t="s">
        <v>52</v>
      </c>
      <c r="H114" s="10" t="s">
        <v>3401</v>
      </c>
      <c r="I114" s="444" t="s">
        <v>193</v>
      </c>
      <c r="J114" s="10" t="s">
        <v>621</v>
      </c>
      <c r="K114" s="444" t="s">
        <v>2181</v>
      </c>
      <c r="L114" s="10" t="s">
        <v>2255</v>
      </c>
      <c r="M114" s="12" t="s">
        <v>1594</v>
      </c>
      <c r="N114" s="10" t="s">
        <v>905</v>
      </c>
      <c r="O114" s="12" t="s">
        <v>1333</v>
      </c>
      <c r="P114" s="450" t="s">
        <v>426</v>
      </c>
      <c r="Q114" s="451" t="s">
        <v>2357</v>
      </c>
      <c r="R114" s="10" t="s">
        <v>2488</v>
      </c>
      <c r="S114" s="12" t="s">
        <v>2077</v>
      </c>
      <c r="T114" s="10" t="s">
        <v>1853</v>
      </c>
      <c r="U114" s="833" t="s">
        <v>3489</v>
      </c>
      <c r="V114" s="10" t="s">
        <v>2668</v>
      </c>
      <c r="W114" s="444" t="s">
        <v>2814</v>
      </c>
      <c r="X114" s="10" t="s">
        <v>3252</v>
      </c>
    </row>
    <row r="115" spans="1:24">
      <c r="A115" s="12" t="s">
        <v>1297</v>
      </c>
      <c r="B115" s="10" t="s">
        <v>1297</v>
      </c>
      <c r="C115" s="12">
        <f>'Language 3'!C115</f>
        <v>0</v>
      </c>
      <c r="D115" s="10" t="s">
        <v>1561</v>
      </c>
      <c r="E115" s="12" t="s">
        <v>1298</v>
      </c>
      <c r="F115" s="10" t="s">
        <v>540</v>
      </c>
      <c r="G115" s="12" t="s">
        <v>53</v>
      </c>
      <c r="H115" s="10" t="s">
        <v>1902</v>
      </c>
      <c r="I115" s="444" t="s">
        <v>2182</v>
      </c>
      <c r="J115" s="10" t="s">
        <v>622</v>
      </c>
      <c r="K115" s="444" t="s">
        <v>2182</v>
      </c>
      <c r="L115" s="10" t="s">
        <v>2256</v>
      </c>
      <c r="M115" s="12" t="s">
        <v>1595</v>
      </c>
      <c r="N115" s="10" t="s">
        <v>906</v>
      </c>
      <c r="O115" s="12" t="s">
        <v>1334</v>
      </c>
      <c r="P115" s="450" t="s">
        <v>427</v>
      </c>
      <c r="Q115" s="451" t="s">
        <v>2358</v>
      </c>
      <c r="R115" s="10" t="s">
        <v>2489</v>
      </c>
      <c r="S115" s="12" t="s">
        <v>2078</v>
      </c>
      <c r="T115" s="10" t="s">
        <v>1334</v>
      </c>
      <c r="U115" s="833" t="s">
        <v>18</v>
      </c>
      <c r="V115" s="10" t="s">
        <v>2669</v>
      </c>
      <c r="W115" s="444" t="s">
        <v>2815</v>
      </c>
      <c r="X115" s="10" t="s">
        <v>3253</v>
      </c>
    </row>
    <row r="116" spans="1:24">
      <c r="A116" s="12" t="s">
        <v>1308</v>
      </c>
      <c r="B116" s="10" t="s">
        <v>1308</v>
      </c>
      <c r="C116" s="12">
        <f>'Language 3'!C116</f>
        <v>0</v>
      </c>
      <c r="D116" s="10" t="s">
        <v>1562</v>
      </c>
      <c r="E116" s="12" t="s">
        <v>1309</v>
      </c>
      <c r="F116" s="10" t="s">
        <v>541</v>
      </c>
      <c r="G116" s="12" t="s">
        <v>54</v>
      </c>
      <c r="H116" s="10" t="s">
        <v>1903</v>
      </c>
      <c r="I116" s="444" t="s">
        <v>194</v>
      </c>
      <c r="J116" s="10" t="s">
        <v>623</v>
      </c>
      <c r="K116" s="444" t="s">
        <v>2183</v>
      </c>
      <c r="L116" s="10" t="s">
        <v>2257</v>
      </c>
      <c r="M116" s="12" t="s">
        <v>1596</v>
      </c>
      <c r="N116" s="10" t="s">
        <v>907</v>
      </c>
      <c r="O116" s="12" t="s">
        <v>1335</v>
      </c>
      <c r="P116" s="450" t="s">
        <v>428</v>
      </c>
      <c r="Q116" s="451" t="s">
        <v>2359</v>
      </c>
      <c r="R116" s="10" t="s">
        <v>2490</v>
      </c>
      <c r="S116" s="12" t="s">
        <v>2079</v>
      </c>
      <c r="T116" s="10" t="s">
        <v>1335</v>
      </c>
      <c r="U116" s="833" t="s">
        <v>19</v>
      </c>
      <c r="V116" s="10" t="s">
        <v>2670</v>
      </c>
      <c r="W116" s="444" t="s">
        <v>2816</v>
      </c>
      <c r="X116" s="10" t="s">
        <v>3254</v>
      </c>
    </row>
    <row r="117" spans="1:24" ht="37.5">
      <c r="A117" s="12" t="s">
        <v>1785</v>
      </c>
      <c r="B117" s="10" t="s">
        <v>1785</v>
      </c>
      <c r="C117" s="12">
        <f>'Language 3'!C117</f>
        <v>0</v>
      </c>
      <c r="D117" s="10" t="s">
        <v>1563</v>
      </c>
      <c r="E117" s="12" t="s">
        <v>119</v>
      </c>
      <c r="F117" s="10" t="s">
        <v>542</v>
      </c>
      <c r="G117" s="12" t="s">
        <v>56</v>
      </c>
      <c r="H117" s="10" t="s">
        <v>1904</v>
      </c>
      <c r="I117" s="444" t="s">
        <v>195</v>
      </c>
      <c r="J117" s="10" t="s">
        <v>624</v>
      </c>
      <c r="K117" s="444" t="s">
        <v>2184</v>
      </c>
      <c r="L117" s="10" t="s">
        <v>1086</v>
      </c>
      <c r="M117" s="12" t="s">
        <v>1597</v>
      </c>
      <c r="N117" s="10" t="s">
        <v>908</v>
      </c>
      <c r="O117" s="12" t="s">
        <v>1336</v>
      </c>
      <c r="P117" s="454" t="s">
        <v>2051</v>
      </c>
      <c r="Q117" s="451" t="s">
        <v>2360</v>
      </c>
      <c r="R117" s="10" t="s">
        <v>2491</v>
      </c>
      <c r="S117" s="12" t="s">
        <v>2080</v>
      </c>
      <c r="T117" s="10" t="s">
        <v>1854</v>
      </c>
      <c r="U117" s="833" t="s">
        <v>3490</v>
      </c>
      <c r="V117" s="10" t="s">
        <v>2671</v>
      </c>
      <c r="W117" s="444" t="s">
        <v>2817</v>
      </c>
      <c r="X117" s="10" t="s">
        <v>3255</v>
      </c>
    </row>
    <row r="118" spans="1:24" ht="25">
      <c r="A118" s="12" t="s">
        <v>1787</v>
      </c>
      <c r="B118" s="10" t="s">
        <v>1787</v>
      </c>
      <c r="C118" s="12">
        <f>'Language 3'!C118</f>
        <v>0</v>
      </c>
      <c r="D118" s="10" t="s">
        <v>1564</v>
      </c>
      <c r="E118" s="12" t="s">
        <v>120</v>
      </c>
      <c r="F118" s="10" t="s">
        <v>543</v>
      </c>
      <c r="G118" s="12" t="s">
        <v>57</v>
      </c>
      <c r="H118" s="10" t="s">
        <v>1905</v>
      </c>
      <c r="I118" s="444" t="s">
        <v>196</v>
      </c>
      <c r="J118" s="10" t="s">
        <v>625</v>
      </c>
      <c r="K118" s="444" t="s">
        <v>2185</v>
      </c>
      <c r="L118" s="10" t="s">
        <v>1087</v>
      </c>
      <c r="M118" s="12" t="s">
        <v>1598</v>
      </c>
      <c r="N118" s="10" t="s">
        <v>909</v>
      </c>
      <c r="O118" s="12" t="s">
        <v>1337</v>
      </c>
      <c r="P118" s="450" t="s">
        <v>2052</v>
      </c>
      <c r="Q118" s="451" t="s">
        <v>2361</v>
      </c>
      <c r="R118" s="10" t="s">
        <v>2492</v>
      </c>
      <c r="S118" s="12" t="s">
        <v>1008</v>
      </c>
      <c r="T118" s="10" t="s">
        <v>1855</v>
      </c>
      <c r="U118" s="833" t="s">
        <v>3491</v>
      </c>
      <c r="V118" s="10" t="s">
        <v>2672</v>
      </c>
      <c r="W118" s="444" t="s">
        <v>2818</v>
      </c>
      <c r="X118" s="10" t="s">
        <v>3256</v>
      </c>
    </row>
    <row r="119" spans="1:24">
      <c r="A119" s="12" t="s">
        <v>1789</v>
      </c>
      <c r="B119" s="10" t="s">
        <v>1789</v>
      </c>
      <c r="C119" s="12">
        <f>'Language 3'!C119</f>
        <v>0</v>
      </c>
      <c r="D119" s="10" t="s">
        <v>1565</v>
      </c>
      <c r="E119" s="12" t="s">
        <v>121</v>
      </c>
      <c r="F119" s="10" t="s">
        <v>544</v>
      </c>
      <c r="G119" s="12" t="s">
        <v>58</v>
      </c>
      <c r="H119" s="10" t="s">
        <v>1906</v>
      </c>
      <c r="I119" s="444" t="s">
        <v>197</v>
      </c>
      <c r="J119" s="10" t="s">
        <v>626</v>
      </c>
      <c r="K119" s="444" t="s">
        <v>2186</v>
      </c>
      <c r="L119" s="10" t="s">
        <v>1088</v>
      </c>
      <c r="M119" s="12" t="s">
        <v>1599</v>
      </c>
      <c r="N119" s="10" t="s">
        <v>910</v>
      </c>
      <c r="O119" s="12" t="s">
        <v>1338</v>
      </c>
      <c r="P119" s="450" t="s">
        <v>429</v>
      </c>
      <c r="Q119" s="451" t="s">
        <v>2362</v>
      </c>
      <c r="R119" s="10" t="s">
        <v>2362</v>
      </c>
      <c r="S119" s="12" t="s">
        <v>2081</v>
      </c>
      <c r="T119" s="10" t="s">
        <v>1856</v>
      </c>
      <c r="U119" s="833" t="s">
        <v>20</v>
      </c>
      <c r="V119" s="10" t="s">
        <v>2673</v>
      </c>
      <c r="W119" s="444" t="s">
        <v>2819</v>
      </c>
      <c r="X119" s="10" t="s">
        <v>3257</v>
      </c>
    </row>
    <row r="120" spans="1:24" ht="37.5">
      <c r="A120" s="12" t="s">
        <v>1788</v>
      </c>
      <c r="B120" s="10" t="s">
        <v>1788</v>
      </c>
      <c r="C120" s="12">
        <f>'Language 3'!C120</f>
        <v>0</v>
      </c>
      <c r="D120" s="10" t="s">
        <v>1566</v>
      </c>
      <c r="E120" s="12" t="s">
        <v>122</v>
      </c>
      <c r="F120" s="10" t="s">
        <v>545</v>
      </c>
      <c r="G120" s="12" t="s">
        <v>59</v>
      </c>
      <c r="H120" s="10" t="s">
        <v>1907</v>
      </c>
      <c r="I120" s="444" t="s">
        <v>198</v>
      </c>
      <c r="J120" s="10" t="s">
        <v>627</v>
      </c>
      <c r="K120" s="444" t="s">
        <v>2187</v>
      </c>
      <c r="L120" s="10" t="s">
        <v>1089</v>
      </c>
      <c r="M120" s="12" t="s">
        <v>1600</v>
      </c>
      <c r="N120" s="10" t="s">
        <v>911</v>
      </c>
      <c r="O120" s="12" t="s">
        <v>1339</v>
      </c>
      <c r="P120" s="450" t="s">
        <v>2053</v>
      </c>
      <c r="Q120" s="451" t="s">
        <v>2363</v>
      </c>
      <c r="R120" s="10" t="s">
        <v>2493</v>
      </c>
      <c r="S120" s="12" t="s">
        <v>2082</v>
      </c>
      <c r="T120" s="10" t="s">
        <v>1857</v>
      </c>
      <c r="U120" s="833" t="s">
        <v>3492</v>
      </c>
      <c r="V120" s="10" t="s">
        <v>2674</v>
      </c>
      <c r="W120" s="444" t="s">
        <v>2820</v>
      </c>
      <c r="X120" s="10" t="s">
        <v>3258</v>
      </c>
    </row>
    <row r="121" spans="1:24" ht="37.5">
      <c r="A121" s="12" t="s">
        <v>1786</v>
      </c>
      <c r="B121" s="10" t="s">
        <v>1786</v>
      </c>
      <c r="C121" s="12">
        <f>'Language 3'!C121</f>
        <v>0</v>
      </c>
      <c r="D121" s="10" t="s">
        <v>1567</v>
      </c>
      <c r="E121" s="12" t="s">
        <v>123</v>
      </c>
      <c r="F121" s="10" t="s">
        <v>546</v>
      </c>
      <c r="G121" s="12" t="s">
        <v>60</v>
      </c>
      <c r="H121" s="10" t="s">
        <v>1908</v>
      </c>
      <c r="I121" s="444" t="s">
        <v>199</v>
      </c>
      <c r="J121" s="10" t="s">
        <v>628</v>
      </c>
      <c r="K121" s="444" t="s">
        <v>2188</v>
      </c>
      <c r="L121" s="10" t="s">
        <v>1090</v>
      </c>
      <c r="M121" s="12" t="s">
        <v>1601</v>
      </c>
      <c r="N121" s="10" t="s">
        <v>912</v>
      </c>
      <c r="O121" s="12" t="s">
        <v>1340</v>
      </c>
      <c r="P121" s="450" t="s">
        <v>430</v>
      </c>
      <c r="Q121" s="451" t="s">
        <v>430</v>
      </c>
      <c r="R121" s="10" t="s">
        <v>2494</v>
      </c>
      <c r="S121" s="12" t="s">
        <v>1009</v>
      </c>
      <c r="T121" s="10" t="s">
        <v>1858</v>
      </c>
      <c r="U121" s="833" t="s">
        <v>3493</v>
      </c>
      <c r="V121" s="10" t="s">
        <v>2675</v>
      </c>
      <c r="W121" s="444" t="s">
        <v>2821</v>
      </c>
      <c r="X121" s="10" t="s">
        <v>3259</v>
      </c>
    </row>
    <row r="122" spans="1:24">
      <c r="A122" s="12"/>
      <c r="B122" s="10"/>
      <c r="C122" s="12"/>
      <c r="D122" s="10"/>
      <c r="E122" s="12"/>
      <c r="F122" s="10"/>
      <c r="G122" s="12"/>
      <c r="H122" s="10"/>
      <c r="I122" s="444"/>
      <c r="J122" s="10">
        <v>0</v>
      </c>
      <c r="K122" s="444">
        <v>0</v>
      </c>
      <c r="L122" s="10"/>
      <c r="M122" s="12"/>
      <c r="N122" s="10"/>
      <c r="O122" s="12"/>
      <c r="P122" s="450"/>
      <c r="Q122" s="451"/>
      <c r="R122" s="10"/>
      <c r="S122" s="12"/>
      <c r="T122" s="10">
        <v>0</v>
      </c>
      <c r="U122" s="833">
        <v>0</v>
      </c>
      <c r="V122" s="10"/>
      <c r="W122" s="444"/>
      <c r="X122" s="10">
        <v>0</v>
      </c>
    </row>
    <row r="123" spans="1:24" ht="25">
      <c r="A123" s="12" t="s">
        <v>1541</v>
      </c>
      <c r="B123" s="10" t="s">
        <v>1541</v>
      </c>
      <c r="C123" s="12">
        <f>'Language 3'!C123</f>
        <v>0</v>
      </c>
      <c r="D123" s="10" t="s">
        <v>1568</v>
      </c>
      <c r="E123" s="12" t="s">
        <v>124</v>
      </c>
      <c r="F123" s="10" t="s">
        <v>547</v>
      </c>
      <c r="G123" s="12" t="s">
        <v>61</v>
      </c>
      <c r="H123" s="10" t="s">
        <v>1909</v>
      </c>
      <c r="I123" s="453" t="s">
        <v>3072</v>
      </c>
      <c r="J123" s="10" t="s">
        <v>629</v>
      </c>
      <c r="K123" s="444" t="s">
        <v>485</v>
      </c>
      <c r="L123" s="10" t="s">
        <v>1091</v>
      </c>
      <c r="M123" s="12" t="s">
        <v>1602</v>
      </c>
      <c r="N123" s="10" t="s">
        <v>913</v>
      </c>
      <c r="O123" s="12" t="s">
        <v>1341</v>
      </c>
      <c r="P123" s="450" t="s">
        <v>2054</v>
      </c>
      <c r="Q123" s="451" t="s">
        <v>2364</v>
      </c>
      <c r="R123" s="10" t="s">
        <v>2495</v>
      </c>
      <c r="S123" s="12" t="s">
        <v>2083</v>
      </c>
      <c r="T123" s="10" t="s">
        <v>1859</v>
      </c>
      <c r="U123" s="833" t="s">
        <v>3494</v>
      </c>
      <c r="V123" s="10" t="s">
        <v>2676</v>
      </c>
      <c r="W123" s="444" t="s">
        <v>2822</v>
      </c>
      <c r="X123" s="10" t="s">
        <v>3260</v>
      </c>
    </row>
    <row r="124" spans="1:24" ht="37.5">
      <c r="A124" s="12" t="s">
        <v>1149</v>
      </c>
      <c r="B124" s="10" t="s">
        <v>1149</v>
      </c>
      <c r="C124" s="12">
        <f>'Language 3'!C124</f>
        <v>0</v>
      </c>
      <c r="D124" s="10" t="s">
        <v>1569</v>
      </c>
      <c r="E124" s="12" t="s">
        <v>125</v>
      </c>
      <c r="F124" s="10" t="s">
        <v>1100</v>
      </c>
      <c r="G124" s="12" t="s">
        <v>62</v>
      </c>
      <c r="H124" s="10" t="s">
        <v>639</v>
      </c>
      <c r="I124" s="444" t="s">
        <v>200</v>
      </c>
      <c r="J124" s="10" t="s">
        <v>630</v>
      </c>
      <c r="K124" s="444" t="s">
        <v>2189</v>
      </c>
      <c r="L124" s="10" t="s">
        <v>1092</v>
      </c>
      <c r="M124" s="12" t="s">
        <v>1603</v>
      </c>
      <c r="N124" s="10" t="s">
        <v>914</v>
      </c>
      <c r="O124" s="12" t="s">
        <v>1342</v>
      </c>
      <c r="P124" s="450" t="s">
        <v>431</v>
      </c>
      <c r="Q124" s="451" t="s">
        <v>2365</v>
      </c>
      <c r="R124" s="10" t="s">
        <v>2496</v>
      </c>
      <c r="S124" s="12" t="s">
        <v>2084</v>
      </c>
      <c r="T124" s="10" t="s">
        <v>1860</v>
      </c>
      <c r="U124" s="833" t="s">
        <v>21</v>
      </c>
      <c r="V124" s="10" t="s">
        <v>2677</v>
      </c>
      <c r="W124" s="444" t="s">
        <v>2823</v>
      </c>
      <c r="X124" s="10" t="s">
        <v>3261</v>
      </c>
    </row>
    <row r="125" spans="1:24" ht="25">
      <c r="A125" s="12" t="s">
        <v>1151</v>
      </c>
      <c r="B125" s="10" t="s">
        <v>1661</v>
      </c>
      <c r="C125" s="12">
        <f>'Language 3'!C125</f>
        <v>0</v>
      </c>
      <c r="D125" s="10" t="s">
        <v>1570</v>
      </c>
      <c r="E125" s="12" t="s">
        <v>128</v>
      </c>
      <c r="F125" s="10" t="s">
        <v>1101</v>
      </c>
      <c r="G125" s="12" t="s">
        <v>63</v>
      </c>
      <c r="H125" s="10" t="s">
        <v>640</v>
      </c>
      <c r="I125" s="444" t="s">
        <v>201</v>
      </c>
      <c r="J125" s="10" t="s">
        <v>631</v>
      </c>
      <c r="K125" s="444" t="s">
        <v>2190</v>
      </c>
      <c r="L125" s="10" t="s">
        <v>1093</v>
      </c>
      <c r="M125" s="12" t="s">
        <v>1604</v>
      </c>
      <c r="N125" s="10" t="s">
        <v>915</v>
      </c>
      <c r="O125" s="12" t="s">
        <v>1343</v>
      </c>
      <c r="P125" s="450" t="s">
        <v>2055</v>
      </c>
      <c r="Q125" s="451" t="s">
        <v>2366</v>
      </c>
      <c r="R125" s="10" t="s">
        <v>2497</v>
      </c>
      <c r="S125" s="12" t="s">
        <v>2085</v>
      </c>
      <c r="T125" s="10" t="s">
        <v>1861</v>
      </c>
      <c r="U125" s="833" t="s">
        <v>3495</v>
      </c>
      <c r="V125" s="10" t="s">
        <v>2678</v>
      </c>
      <c r="W125" s="444" t="s">
        <v>2824</v>
      </c>
      <c r="X125" s="10" t="s">
        <v>3262</v>
      </c>
    </row>
    <row r="126" spans="1:24" ht="50">
      <c r="A126" s="12" t="s">
        <v>1152</v>
      </c>
      <c r="B126" s="10" t="s">
        <v>1662</v>
      </c>
      <c r="C126" s="12">
        <f>'Language 3'!C126</f>
        <v>0</v>
      </c>
      <c r="D126" s="10" t="s">
        <v>1571</v>
      </c>
      <c r="E126" s="12" t="s">
        <v>127</v>
      </c>
      <c r="F126" s="10" t="s">
        <v>1102</v>
      </c>
      <c r="G126" s="12" t="s">
        <v>64</v>
      </c>
      <c r="H126" s="10" t="s">
        <v>1748</v>
      </c>
      <c r="I126" s="453" t="s">
        <v>3073</v>
      </c>
      <c r="J126" s="10" t="s">
        <v>632</v>
      </c>
      <c r="K126" s="444" t="s">
        <v>2191</v>
      </c>
      <c r="L126" s="10" t="s">
        <v>1094</v>
      </c>
      <c r="M126" s="12" t="s">
        <v>472</v>
      </c>
      <c r="N126" s="10" t="s">
        <v>916</v>
      </c>
      <c r="O126" s="12" t="s">
        <v>1344</v>
      </c>
      <c r="P126" s="450" t="s">
        <v>432</v>
      </c>
      <c r="Q126" s="451" t="s">
        <v>2367</v>
      </c>
      <c r="R126" s="10" t="s">
        <v>2498</v>
      </c>
      <c r="S126" s="12" t="s">
        <v>1010</v>
      </c>
      <c r="T126" s="10" t="s">
        <v>2071</v>
      </c>
      <c r="U126" s="833" t="s">
        <v>3496</v>
      </c>
      <c r="V126" s="10" t="s">
        <v>2679</v>
      </c>
      <c r="W126" s="444" t="s">
        <v>2825</v>
      </c>
      <c r="X126" s="10" t="s">
        <v>3263</v>
      </c>
    </row>
    <row r="127" spans="1:24" ht="25">
      <c r="A127" s="12" t="s">
        <v>1763</v>
      </c>
      <c r="B127" s="10" t="s">
        <v>1763</v>
      </c>
      <c r="C127" s="12">
        <f>'Language 3'!C127</f>
        <v>0</v>
      </c>
      <c r="D127" s="10" t="s">
        <v>1572</v>
      </c>
      <c r="E127" s="12" t="s">
        <v>126</v>
      </c>
      <c r="F127" s="10" t="s">
        <v>1103</v>
      </c>
      <c r="G127" s="12" t="s">
        <v>65</v>
      </c>
      <c r="H127" s="10" t="s">
        <v>1749</v>
      </c>
      <c r="I127" s="444" t="s">
        <v>202</v>
      </c>
      <c r="J127" s="10" t="s">
        <v>633</v>
      </c>
      <c r="K127" s="444" t="s">
        <v>2192</v>
      </c>
      <c r="L127" s="10" t="s">
        <v>1095</v>
      </c>
      <c r="M127" s="12" t="s">
        <v>473</v>
      </c>
      <c r="N127" s="10" t="s">
        <v>917</v>
      </c>
      <c r="O127" s="12" t="s">
        <v>1345</v>
      </c>
      <c r="P127" s="450" t="s">
        <v>2056</v>
      </c>
      <c r="Q127" s="451" t="s">
        <v>2368</v>
      </c>
      <c r="R127" s="10" t="s">
        <v>2499</v>
      </c>
      <c r="S127" s="12" t="s">
        <v>2086</v>
      </c>
      <c r="T127" s="10" t="s">
        <v>1862</v>
      </c>
      <c r="U127" s="833" t="s">
        <v>3497</v>
      </c>
      <c r="V127" s="10" t="s">
        <v>2680</v>
      </c>
      <c r="W127" s="444" t="s">
        <v>2826</v>
      </c>
      <c r="X127" s="10" t="s">
        <v>3264</v>
      </c>
    </row>
    <row r="128" spans="1:24">
      <c r="A128" s="12" t="s">
        <v>1498</v>
      </c>
      <c r="B128" s="10" t="s">
        <v>1498</v>
      </c>
      <c r="C128" s="12">
        <f>'Language 3'!C128</f>
        <v>0</v>
      </c>
      <c r="D128" s="10" t="s">
        <v>1573</v>
      </c>
      <c r="E128" s="12" t="s">
        <v>1811</v>
      </c>
      <c r="F128" s="10" t="s">
        <v>1104</v>
      </c>
      <c r="G128" s="12" t="s">
        <v>66</v>
      </c>
      <c r="H128" s="10" t="s">
        <v>1750</v>
      </c>
      <c r="I128" s="444" t="s">
        <v>1890</v>
      </c>
      <c r="J128" s="10" t="s">
        <v>634</v>
      </c>
      <c r="K128" s="444" t="s">
        <v>2193</v>
      </c>
      <c r="L128" s="10" t="s">
        <v>1096</v>
      </c>
      <c r="M128" s="12" t="s">
        <v>474</v>
      </c>
      <c r="N128" s="10" t="s">
        <v>918</v>
      </c>
      <c r="O128" s="12" t="s">
        <v>1811</v>
      </c>
      <c r="P128" s="450" t="s">
        <v>2057</v>
      </c>
      <c r="Q128" s="451" t="s">
        <v>2369</v>
      </c>
      <c r="R128" s="10" t="s">
        <v>2500</v>
      </c>
      <c r="S128" s="12" t="s">
        <v>2087</v>
      </c>
      <c r="T128" s="10" t="s">
        <v>1863</v>
      </c>
      <c r="U128" s="833" t="s">
        <v>22</v>
      </c>
      <c r="V128" s="10" t="s">
        <v>2681</v>
      </c>
      <c r="W128" s="444" t="s">
        <v>1498</v>
      </c>
      <c r="X128" s="10" t="s">
        <v>3265</v>
      </c>
    </row>
    <row r="129" spans="1:24" ht="125">
      <c r="A129" s="12" t="s">
        <v>1542</v>
      </c>
      <c r="B129" s="10" t="s">
        <v>1542</v>
      </c>
      <c r="C129" s="12">
        <f>'Language 3'!C129</f>
        <v>0</v>
      </c>
      <c r="D129" s="10" t="s">
        <v>1574</v>
      </c>
      <c r="E129" s="12" t="s">
        <v>1790</v>
      </c>
      <c r="F129" s="10" t="s">
        <v>326</v>
      </c>
      <c r="G129" s="12" t="s">
        <v>67</v>
      </c>
      <c r="H129" s="10" t="s">
        <v>1751</v>
      </c>
      <c r="I129" s="444" t="s">
        <v>203</v>
      </c>
      <c r="J129" s="10" t="s">
        <v>635</v>
      </c>
      <c r="K129" s="444" t="s">
        <v>2194</v>
      </c>
      <c r="L129" s="10" t="s">
        <v>1097</v>
      </c>
      <c r="M129" s="12" t="s">
        <v>475</v>
      </c>
      <c r="N129" s="10" t="s">
        <v>919</v>
      </c>
      <c r="O129" s="12" t="s">
        <v>1346</v>
      </c>
      <c r="P129" s="454" t="s">
        <v>2058</v>
      </c>
      <c r="Q129" s="451" t="s">
        <v>2370</v>
      </c>
      <c r="R129" s="10" t="s">
        <v>2501</v>
      </c>
      <c r="S129" s="12" t="s">
        <v>1011</v>
      </c>
      <c r="T129" s="10" t="s">
        <v>1864</v>
      </c>
      <c r="U129" s="833" t="s">
        <v>3498</v>
      </c>
      <c r="V129" s="10" t="s">
        <v>2682</v>
      </c>
      <c r="W129" s="444" t="s">
        <v>2827</v>
      </c>
      <c r="X129" s="10" t="s">
        <v>3266</v>
      </c>
    </row>
    <row r="130" spans="1:24" ht="100">
      <c r="A130" s="12" t="s">
        <v>1543</v>
      </c>
      <c r="B130" s="10" t="s">
        <v>1543</v>
      </c>
      <c r="C130" s="12">
        <f>'Language 3'!C130</f>
        <v>0</v>
      </c>
      <c r="D130" s="10" t="s">
        <v>1575</v>
      </c>
      <c r="E130" s="12" t="s">
        <v>116</v>
      </c>
      <c r="F130" s="10" t="s">
        <v>327</v>
      </c>
      <c r="G130" s="12" t="s">
        <v>1459</v>
      </c>
      <c r="H130" s="10" t="s">
        <v>1979</v>
      </c>
      <c r="I130" s="453" t="s">
        <v>3074</v>
      </c>
      <c r="J130" s="10" t="s">
        <v>636</v>
      </c>
      <c r="K130" s="444" t="s">
        <v>1647</v>
      </c>
      <c r="L130" s="10" t="s">
        <v>1098</v>
      </c>
      <c r="M130" s="12" t="s">
        <v>1238</v>
      </c>
      <c r="N130" s="10" t="s">
        <v>920</v>
      </c>
      <c r="O130" s="12" t="s">
        <v>1347</v>
      </c>
      <c r="P130" s="450" t="s">
        <v>433</v>
      </c>
      <c r="Q130" s="451" t="s">
        <v>2371</v>
      </c>
      <c r="R130" s="10" t="s">
        <v>2502</v>
      </c>
      <c r="S130" s="12" t="s">
        <v>1012</v>
      </c>
      <c r="T130" s="10" t="s">
        <v>1865</v>
      </c>
      <c r="U130" s="833" t="s">
        <v>3499</v>
      </c>
      <c r="V130" s="10" t="s">
        <v>2683</v>
      </c>
      <c r="W130" s="444" t="s">
        <v>2828</v>
      </c>
      <c r="X130" s="10" t="s">
        <v>3267</v>
      </c>
    </row>
    <row r="131" spans="1:24" ht="125">
      <c r="A131" s="12" t="s">
        <v>1761</v>
      </c>
      <c r="B131" s="10" t="s">
        <v>1761</v>
      </c>
      <c r="C131" s="12">
        <f>'Language 3'!C131</f>
        <v>0</v>
      </c>
      <c r="D131" s="10" t="s">
        <v>1576</v>
      </c>
      <c r="E131" s="12" t="s">
        <v>117</v>
      </c>
      <c r="F131" s="10" t="s">
        <v>1458</v>
      </c>
      <c r="G131" s="12" t="s">
        <v>1197</v>
      </c>
      <c r="H131" s="10" t="s">
        <v>1980</v>
      </c>
      <c r="I131" s="444" t="s">
        <v>204</v>
      </c>
      <c r="J131" s="10" t="s">
        <v>637</v>
      </c>
      <c r="K131" s="444" t="s">
        <v>1648</v>
      </c>
      <c r="L131" s="10" t="s">
        <v>1099</v>
      </c>
      <c r="M131" s="12" t="s">
        <v>2554</v>
      </c>
      <c r="N131" s="10" t="s">
        <v>1999</v>
      </c>
      <c r="O131" s="12" t="s">
        <v>1348</v>
      </c>
      <c r="P131" s="450" t="s">
        <v>434</v>
      </c>
      <c r="Q131" s="451" t="s">
        <v>2372</v>
      </c>
      <c r="R131" s="10" t="s">
        <v>2503</v>
      </c>
      <c r="S131" s="12" t="s">
        <v>1013</v>
      </c>
      <c r="T131" s="10" t="s">
        <v>1866</v>
      </c>
      <c r="U131" s="832" t="s">
        <v>3500</v>
      </c>
      <c r="V131" s="10" t="s">
        <v>2684</v>
      </c>
      <c r="W131" s="444" t="s">
        <v>2829</v>
      </c>
      <c r="X131" s="10" t="s">
        <v>3268</v>
      </c>
    </row>
    <row r="132" spans="1:24" ht="75">
      <c r="A132" s="12" t="s">
        <v>1762</v>
      </c>
      <c r="B132" s="10" t="s">
        <v>1762</v>
      </c>
      <c r="C132" s="12">
        <f>'Language 3'!C132</f>
        <v>0</v>
      </c>
      <c r="D132" s="10" t="s">
        <v>1577</v>
      </c>
      <c r="E132" s="12" t="s">
        <v>118</v>
      </c>
      <c r="F132" s="10" t="s">
        <v>328</v>
      </c>
      <c r="G132" s="12" t="s">
        <v>1198</v>
      </c>
      <c r="H132" s="10" t="s">
        <v>291</v>
      </c>
      <c r="I132" s="444" t="s">
        <v>1214</v>
      </c>
      <c r="J132" s="10" t="s">
        <v>638</v>
      </c>
      <c r="K132" s="444" t="s">
        <v>1649</v>
      </c>
      <c r="L132" s="10" t="s">
        <v>1382</v>
      </c>
      <c r="M132" s="12" t="s">
        <v>2555</v>
      </c>
      <c r="N132" s="10" t="s">
        <v>2000</v>
      </c>
      <c r="O132" s="12" t="s">
        <v>1349</v>
      </c>
      <c r="P132" s="450" t="s">
        <v>435</v>
      </c>
      <c r="Q132" s="451" t="s">
        <v>2373</v>
      </c>
      <c r="R132" s="10" t="s">
        <v>2504</v>
      </c>
      <c r="S132" s="12" t="s">
        <v>1014</v>
      </c>
      <c r="T132" s="10" t="s">
        <v>1867</v>
      </c>
      <c r="U132" s="833" t="s">
        <v>3501</v>
      </c>
      <c r="V132" s="10" t="s">
        <v>2685</v>
      </c>
      <c r="W132" s="444" t="s">
        <v>2830</v>
      </c>
      <c r="X132" s="10" t="s">
        <v>3269</v>
      </c>
    </row>
    <row r="133" spans="1:24" ht="247.5" customHeight="1">
      <c r="A133" s="12" t="s">
        <v>3035</v>
      </c>
      <c r="B133" s="10" t="s">
        <v>3035</v>
      </c>
      <c r="C133" s="12">
        <f>'Language 3'!C133</f>
        <v>0</v>
      </c>
      <c r="D133" s="472" t="s">
        <v>3035</v>
      </c>
      <c r="E133" s="460" t="s">
        <v>3037</v>
      </c>
      <c r="F133" s="472" t="s">
        <v>3035</v>
      </c>
      <c r="G133" s="472" t="s">
        <v>3035</v>
      </c>
      <c r="H133" s="10" t="s">
        <v>3396</v>
      </c>
      <c r="I133" s="453" t="s">
        <v>3075</v>
      </c>
      <c r="J133" s="472" t="s">
        <v>3035</v>
      </c>
      <c r="K133" s="482" t="s">
        <v>3377</v>
      </c>
      <c r="L133" s="472" t="s">
        <v>3035</v>
      </c>
      <c r="M133" s="472" t="s">
        <v>3035</v>
      </c>
      <c r="N133" s="472" t="s">
        <v>3035</v>
      </c>
      <c r="O133" s="472" t="s">
        <v>3035</v>
      </c>
      <c r="P133" s="472" t="s">
        <v>3035</v>
      </c>
      <c r="Q133" s="472" t="s">
        <v>3035</v>
      </c>
      <c r="R133" s="472" t="s">
        <v>3035</v>
      </c>
      <c r="S133" s="472" t="s">
        <v>3035</v>
      </c>
      <c r="T133" s="472" t="s">
        <v>3035</v>
      </c>
      <c r="U133" s="833" t="s">
        <v>3502</v>
      </c>
      <c r="V133" s="472" t="s">
        <v>3035</v>
      </c>
      <c r="W133" s="472" t="s">
        <v>3035</v>
      </c>
      <c r="X133" s="10" t="s">
        <v>3270</v>
      </c>
    </row>
    <row r="134" spans="1:24" ht="175">
      <c r="A134" s="12" t="s">
        <v>1664</v>
      </c>
      <c r="B134" s="10" t="s">
        <v>2088</v>
      </c>
      <c r="C134" s="12">
        <f>'Language 3'!C134</f>
        <v>0</v>
      </c>
      <c r="D134" s="10" t="s">
        <v>1363</v>
      </c>
      <c r="E134" s="12" t="s">
        <v>129</v>
      </c>
      <c r="F134" s="10" t="s">
        <v>329</v>
      </c>
      <c r="G134" s="12" t="s">
        <v>986</v>
      </c>
      <c r="H134" s="10" t="s">
        <v>38</v>
      </c>
      <c r="I134" s="453" t="s">
        <v>3076</v>
      </c>
      <c r="J134" s="10" t="s">
        <v>2164</v>
      </c>
      <c r="K134" s="482" t="s">
        <v>1887</v>
      </c>
      <c r="L134" s="10" t="s">
        <v>1383</v>
      </c>
      <c r="M134" s="12" t="s">
        <v>2556</v>
      </c>
      <c r="N134" s="10" t="s">
        <v>2001</v>
      </c>
      <c r="O134" s="12" t="s">
        <v>1350</v>
      </c>
      <c r="P134" s="456" t="s">
        <v>436</v>
      </c>
      <c r="Q134" s="457" t="s">
        <v>2374</v>
      </c>
      <c r="R134" s="10" t="s">
        <v>2505</v>
      </c>
      <c r="S134" s="12" t="s">
        <v>1015</v>
      </c>
      <c r="T134" s="10" t="s">
        <v>1868</v>
      </c>
      <c r="U134" s="833" t="s">
        <v>3503</v>
      </c>
      <c r="V134" s="10" t="s">
        <v>2686</v>
      </c>
      <c r="W134" s="444" t="s">
        <v>2831</v>
      </c>
      <c r="X134" s="10" t="s">
        <v>3271</v>
      </c>
    </row>
    <row r="135" spans="1:24" ht="225">
      <c r="A135" s="12" t="s">
        <v>1994</v>
      </c>
      <c r="B135" s="10" t="s">
        <v>1995</v>
      </c>
      <c r="C135" s="12">
        <f>'Language 3'!C135</f>
        <v>0</v>
      </c>
      <c r="D135" s="10" t="s">
        <v>1996</v>
      </c>
      <c r="E135" s="12" t="s">
        <v>1253</v>
      </c>
      <c r="F135" s="10" t="s">
        <v>1755</v>
      </c>
      <c r="G135" s="12" t="s">
        <v>1134</v>
      </c>
      <c r="H135" s="10" t="s">
        <v>2930</v>
      </c>
      <c r="I135" s="453" t="s">
        <v>3077</v>
      </c>
      <c r="J135" s="10" t="s">
        <v>1256</v>
      </c>
      <c r="K135" s="482" t="s">
        <v>1135</v>
      </c>
      <c r="L135" s="10" t="s">
        <v>1384</v>
      </c>
      <c r="M135" s="12" t="s">
        <v>2557</v>
      </c>
      <c r="N135" s="10" t="s">
        <v>2002</v>
      </c>
      <c r="O135" s="12" t="s">
        <v>1351</v>
      </c>
      <c r="P135" s="450" t="s">
        <v>2059</v>
      </c>
      <c r="Q135" s="451" t="s">
        <v>2375</v>
      </c>
      <c r="R135" s="10" t="s">
        <v>2506</v>
      </c>
      <c r="S135" s="12" t="s">
        <v>1033</v>
      </c>
      <c r="T135" s="10" t="s">
        <v>1869</v>
      </c>
      <c r="U135" s="833" t="s">
        <v>3504</v>
      </c>
      <c r="V135" s="10" t="s">
        <v>2687</v>
      </c>
      <c r="W135" s="444" t="s">
        <v>2832</v>
      </c>
      <c r="X135" s="10" t="s">
        <v>3272</v>
      </c>
    </row>
    <row r="136" spans="1:24" ht="50">
      <c r="A136" s="12" t="s">
        <v>288</v>
      </c>
      <c r="B136" s="10" t="s">
        <v>288</v>
      </c>
      <c r="C136" s="12">
        <f>'Language 3'!C136</f>
        <v>0</v>
      </c>
      <c r="D136" s="10" t="s">
        <v>1369</v>
      </c>
      <c r="E136" s="12" t="s">
        <v>1210</v>
      </c>
      <c r="F136" s="10" t="s">
        <v>1111</v>
      </c>
      <c r="G136" s="12" t="s">
        <v>987</v>
      </c>
      <c r="H136" s="10" t="s">
        <v>39</v>
      </c>
      <c r="I136" s="444" t="s">
        <v>323</v>
      </c>
      <c r="J136" s="10" t="s">
        <v>2165</v>
      </c>
      <c r="K136" s="482" t="s">
        <v>1650</v>
      </c>
      <c r="L136" s="10" t="s">
        <v>992</v>
      </c>
      <c r="M136" s="12" t="s">
        <v>2558</v>
      </c>
      <c r="N136" s="10" t="s">
        <v>1950</v>
      </c>
      <c r="O136" s="12" t="s">
        <v>1352</v>
      </c>
      <c r="P136" s="450" t="s">
        <v>1753</v>
      </c>
      <c r="Q136" s="451" t="s">
        <v>2376</v>
      </c>
      <c r="R136" s="10" t="s">
        <v>2507</v>
      </c>
      <c r="S136" s="12" t="s">
        <v>799</v>
      </c>
      <c r="T136" s="10" t="s">
        <v>1870</v>
      </c>
      <c r="U136" s="833" t="s">
        <v>3505</v>
      </c>
      <c r="V136" s="10" t="s">
        <v>2688</v>
      </c>
      <c r="W136" s="444" t="s">
        <v>2833</v>
      </c>
      <c r="X136" s="10" t="s">
        <v>3273</v>
      </c>
    </row>
    <row r="137" spans="1:24" ht="25">
      <c r="A137" s="12" t="s">
        <v>1665</v>
      </c>
      <c r="B137" s="10" t="s">
        <v>1293</v>
      </c>
      <c r="C137" s="12">
        <f>'Language 3'!C137</f>
        <v>0</v>
      </c>
      <c r="D137" s="10" t="s">
        <v>1370</v>
      </c>
      <c r="E137" s="12" t="s">
        <v>1211</v>
      </c>
      <c r="F137" s="10" t="s">
        <v>1112</v>
      </c>
      <c r="G137" s="12" t="s">
        <v>988</v>
      </c>
      <c r="H137" s="10" t="s">
        <v>40</v>
      </c>
      <c r="I137" s="444" t="s">
        <v>324</v>
      </c>
      <c r="J137" s="10" t="s">
        <v>2166</v>
      </c>
      <c r="K137" s="482" t="s">
        <v>1651</v>
      </c>
      <c r="L137" s="10" t="s">
        <v>993</v>
      </c>
      <c r="M137" s="12" t="s">
        <v>2559</v>
      </c>
      <c r="N137" s="10" t="s">
        <v>1951</v>
      </c>
      <c r="O137" s="12" t="s">
        <v>1353</v>
      </c>
      <c r="P137" s="450" t="s">
        <v>1754</v>
      </c>
      <c r="Q137" s="451" t="s">
        <v>2377</v>
      </c>
      <c r="R137" s="10" t="s">
        <v>2508</v>
      </c>
      <c r="S137" s="12" t="s">
        <v>1016</v>
      </c>
      <c r="T137" s="10" t="s">
        <v>1871</v>
      </c>
      <c r="U137" s="833" t="s">
        <v>3506</v>
      </c>
      <c r="V137" s="10" t="s">
        <v>2689</v>
      </c>
      <c r="W137" s="444" t="s">
        <v>2834</v>
      </c>
      <c r="X137" s="10" t="s">
        <v>3274</v>
      </c>
    </row>
    <row r="138" spans="1:24" ht="37.5">
      <c r="A138" s="12" t="s">
        <v>1294</v>
      </c>
      <c r="B138" s="10" t="s">
        <v>1294</v>
      </c>
      <c r="C138" s="12">
        <f>'Language 3'!C138</f>
        <v>0</v>
      </c>
      <c r="D138" s="10" t="s">
        <v>1371</v>
      </c>
      <c r="E138" s="12" t="s">
        <v>1212</v>
      </c>
      <c r="F138" s="10" t="s">
        <v>1113</v>
      </c>
      <c r="G138" s="12" t="s">
        <v>989</v>
      </c>
      <c r="H138" s="10" t="s">
        <v>3400</v>
      </c>
      <c r="I138" s="444" t="s">
        <v>325</v>
      </c>
      <c r="J138" s="10" t="s">
        <v>2167</v>
      </c>
      <c r="K138" s="482" t="s">
        <v>1652</v>
      </c>
      <c r="L138" s="10" t="s">
        <v>994</v>
      </c>
      <c r="M138" s="12" t="s">
        <v>2560</v>
      </c>
      <c r="N138" s="10" t="s">
        <v>1952</v>
      </c>
      <c r="O138" s="12" t="s">
        <v>1354</v>
      </c>
      <c r="P138" s="450" t="s">
        <v>437</v>
      </c>
      <c r="Q138" s="451" t="s">
        <v>2378</v>
      </c>
      <c r="R138" s="10" t="s">
        <v>2509</v>
      </c>
      <c r="S138" s="12" t="s">
        <v>800</v>
      </c>
      <c r="T138" s="10" t="s">
        <v>1872</v>
      </c>
      <c r="U138" s="833" t="s">
        <v>3507</v>
      </c>
      <c r="V138" s="10" t="s">
        <v>2690</v>
      </c>
      <c r="W138" s="444" t="s">
        <v>2835</v>
      </c>
      <c r="X138" s="10" t="s">
        <v>3275</v>
      </c>
    </row>
    <row r="139" spans="1:24" ht="37.5">
      <c r="A139" s="12" t="s">
        <v>3036</v>
      </c>
      <c r="B139" s="249" t="s">
        <v>3036</v>
      </c>
      <c r="C139" s="12">
        <f>'Language 3'!C139</f>
        <v>0</v>
      </c>
      <c r="D139" s="473" t="s">
        <v>3036</v>
      </c>
      <c r="E139" s="460" t="s">
        <v>3046</v>
      </c>
      <c r="F139" s="473" t="s">
        <v>3036</v>
      </c>
      <c r="G139" s="473" t="s">
        <v>3036</v>
      </c>
      <c r="H139" s="10" t="s">
        <v>3399</v>
      </c>
      <c r="I139" s="453" t="s">
        <v>3078</v>
      </c>
      <c r="J139" s="473" t="s">
        <v>3036</v>
      </c>
      <c r="K139" s="482" t="s">
        <v>3337</v>
      </c>
      <c r="L139" s="473" t="s">
        <v>3036</v>
      </c>
      <c r="M139" s="473" t="s">
        <v>3036</v>
      </c>
      <c r="N139" s="473" t="s">
        <v>3036</v>
      </c>
      <c r="O139" s="473" t="s">
        <v>3036</v>
      </c>
      <c r="P139" s="473" t="s">
        <v>3036</v>
      </c>
      <c r="Q139" s="473" t="s">
        <v>3036</v>
      </c>
      <c r="R139" s="473" t="s">
        <v>3036</v>
      </c>
      <c r="S139" s="473" t="s">
        <v>3036</v>
      </c>
      <c r="T139" s="473" t="s">
        <v>3036</v>
      </c>
      <c r="U139" s="833" t="s">
        <v>3508</v>
      </c>
      <c r="V139" s="473" t="s">
        <v>3036</v>
      </c>
      <c r="W139" s="473" t="s">
        <v>3036</v>
      </c>
      <c r="X139" s="249" t="s">
        <v>3276</v>
      </c>
    </row>
    <row r="140" spans="1:24" ht="187.5">
      <c r="A140" s="12" t="s">
        <v>1231</v>
      </c>
      <c r="B140" s="10" t="s">
        <v>1231</v>
      </c>
      <c r="C140" s="12">
        <f>'Language 3'!C140</f>
        <v>0</v>
      </c>
      <c r="D140" s="10" t="s">
        <v>1372</v>
      </c>
      <c r="E140" s="12" t="s">
        <v>1507</v>
      </c>
      <c r="F140" s="10" t="s">
        <v>27</v>
      </c>
      <c r="G140" s="12" t="s">
        <v>549</v>
      </c>
      <c r="H140" s="10" t="s">
        <v>41</v>
      </c>
      <c r="I140" s="444" t="s">
        <v>1717</v>
      </c>
      <c r="J140" s="10" t="s">
        <v>2168</v>
      </c>
      <c r="K140" s="482" t="s">
        <v>1653</v>
      </c>
      <c r="L140" s="10" t="s">
        <v>2072</v>
      </c>
      <c r="M140" s="12" t="s">
        <v>2206</v>
      </c>
      <c r="N140" s="10" t="s">
        <v>1953</v>
      </c>
      <c r="O140" s="12" t="s">
        <v>1355</v>
      </c>
      <c r="P140" s="450" t="s">
        <v>439</v>
      </c>
      <c r="Q140" s="451" t="s">
        <v>2379</v>
      </c>
      <c r="R140" s="10" t="s">
        <v>2510</v>
      </c>
      <c r="S140" s="12" t="s">
        <v>1017</v>
      </c>
      <c r="T140" s="10" t="s">
        <v>1886</v>
      </c>
      <c r="U140" s="833" t="s">
        <v>3509</v>
      </c>
      <c r="V140" s="10" t="s">
        <v>2691</v>
      </c>
      <c r="W140" s="444" t="s">
        <v>2836</v>
      </c>
      <c r="X140" s="10" t="s">
        <v>3277</v>
      </c>
    </row>
    <row r="141" spans="1:24" ht="50">
      <c r="A141" s="12" t="s">
        <v>1146</v>
      </c>
      <c r="B141" s="10" t="s">
        <v>1146</v>
      </c>
      <c r="C141" s="12">
        <f>'Language 3'!C141</f>
        <v>0</v>
      </c>
      <c r="D141" s="10" t="s">
        <v>1373</v>
      </c>
      <c r="E141" s="12" t="s">
        <v>2550</v>
      </c>
      <c r="F141" s="10" t="s">
        <v>28</v>
      </c>
      <c r="G141" s="12" t="s">
        <v>990</v>
      </c>
      <c r="H141" s="10" t="s">
        <v>42</v>
      </c>
      <c r="I141" s="444" t="s">
        <v>1935</v>
      </c>
      <c r="J141" s="10" t="s">
        <v>2169</v>
      </c>
      <c r="K141" s="482" t="s">
        <v>1654</v>
      </c>
      <c r="L141" s="10" t="s">
        <v>1114</v>
      </c>
      <c r="M141" s="12" t="s">
        <v>2561</v>
      </c>
      <c r="N141" s="10" t="s">
        <v>1954</v>
      </c>
      <c r="O141" s="12" t="s">
        <v>1356</v>
      </c>
      <c r="P141" s="450" t="s">
        <v>438</v>
      </c>
      <c r="Q141" s="451" t="s">
        <v>2380</v>
      </c>
      <c r="R141" s="10" t="s">
        <v>2511</v>
      </c>
      <c r="S141" s="12" t="s">
        <v>1018</v>
      </c>
      <c r="T141" s="10" t="s">
        <v>1873</v>
      </c>
      <c r="U141" s="833" t="s">
        <v>23</v>
      </c>
      <c r="V141" s="10" t="s">
        <v>2709</v>
      </c>
      <c r="W141" s="444" t="s">
        <v>2837</v>
      </c>
      <c r="X141" s="10" t="s">
        <v>3278</v>
      </c>
    </row>
    <row r="142" spans="1:24" ht="125">
      <c r="A142" s="12" t="s">
        <v>1310</v>
      </c>
      <c r="B142" s="10" t="s">
        <v>1310</v>
      </c>
      <c r="C142" s="12">
        <f>'Language 3'!C142</f>
        <v>0</v>
      </c>
      <c r="D142" s="10" t="s">
        <v>1374</v>
      </c>
      <c r="E142" s="12" t="s">
        <v>2551</v>
      </c>
      <c r="F142" s="10" t="s">
        <v>29</v>
      </c>
      <c r="G142" s="12" t="s">
        <v>991</v>
      </c>
      <c r="H142" s="10" t="s">
        <v>43</v>
      </c>
      <c r="I142" s="444" t="s">
        <v>1936</v>
      </c>
      <c r="J142" s="10" t="s">
        <v>2170</v>
      </c>
      <c r="K142" s="482" t="s">
        <v>1655</v>
      </c>
      <c r="L142" s="10" t="s">
        <v>1115</v>
      </c>
      <c r="M142" s="12" t="s">
        <v>1209</v>
      </c>
      <c r="N142" s="10" t="s">
        <v>1955</v>
      </c>
      <c r="O142" s="12" t="s">
        <v>1357</v>
      </c>
      <c r="P142" s="450" t="s">
        <v>2060</v>
      </c>
      <c r="Q142" s="451" t="s">
        <v>2381</v>
      </c>
      <c r="R142" s="10" t="s">
        <v>2512</v>
      </c>
      <c r="S142" s="12" t="s">
        <v>1019</v>
      </c>
      <c r="T142" s="10" t="s">
        <v>1874</v>
      </c>
      <c r="U142" s="833" t="s">
        <v>3510</v>
      </c>
      <c r="V142" s="10" t="s">
        <v>2692</v>
      </c>
      <c r="W142" s="444" t="s">
        <v>2838</v>
      </c>
      <c r="X142" s="10" t="s">
        <v>3279</v>
      </c>
    </row>
    <row r="143" spans="1:24" ht="125">
      <c r="A143" s="12" t="s">
        <v>2552</v>
      </c>
      <c r="B143" s="10" t="s">
        <v>2552</v>
      </c>
      <c r="C143" s="12">
        <f>'Language 3'!C143</f>
        <v>0</v>
      </c>
      <c r="D143" s="10" t="s">
        <v>1213</v>
      </c>
      <c r="E143" s="12" t="s">
        <v>2553</v>
      </c>
      <c r="F143" s="10" t="s">
        <v>30</v>
      </c>
      <c r="G143" s="12" t="s">
        <v>1819</v>
      </c>
      <c r="H143" s="10" t="s">
        <v>44</v>
      </c>
      <c r="I143" s="444" t="s">
        <v>1937</v>
      </c>
      <c r="J143" s="10" t="s">
        <v>2171</v>
      </c>
      <c r="K143" s="482" t="s">
        <v>1656</v>
      </c>
      <c r="L143" s="10" t="s">
        <v>1116</v>
      </c>
      <c r="M143" s="12" t="s">
        <v>2562</v>
      </c>
      <c r="N143" s="10" t="s">
        <v>1956</v>
      </c>
      <c r="O143" s="12" t="s">
        <v>1358</v>
      </c>
      <c r="P143" s="450" t="s">
        <v>440</v>
      </c>
      <c r="Q143" s="451" t="s">
        <v>2382</v>
      </c>
      <c r="R143" s="10" t="s">
        <v>2513</v>
      </c>
      <c r="S143" s="12" t="s">
        <v>1020</v>
      </c>
      <c r="T143" s="10" t="s">
        <v>1875</v>
      </c>
      <c r="U143" s="833" t="s">
        <v>3511</v>
      </c>
      <c r="V143" s="10" t="s">
        <v>2693</v>
      </c>
      <c r="W143" s="444" t="s">
        <v>2839</v>
      </c>
      <c r="X143" s="10" t="s">
        <v>3280</v>
      </c>
    </row>
    <row r="144" spans="1:24" ht="125">
      <c r="A144" s="12" t="s">
        <v>1148</v>
      </c>
      <c r="B144" s="10" t="s">
        <v>1148</v>
      </c>
      <c r="C144" s="12">
        <f>'Language 3'!C144</f>
        <v>0</v>
      </c>
      <c r="D144" s="10" t="s">
        <v>563</v>
      </c>
      <c r="E144" s="12" t="s">
        <v>1229</v>
      </c>
      <c r="F144" s="10" t="s">
        <v>31</v>
      </c>
      <c r="G144" s="12" t="s">
        <v>1820</v>
      </c>
      <c r="H144" s="10" t="s">
        <v>45</v>
      </c>
      <c r="I144" s="444" t="s">
        <v>1319</v>
      </c>
      <c r="J144" s="10" t="s">
        <v>803</v>
      </c>
      <c r="K144" s="482" t="s">
        <v>1657</v>
      </c>
      <c r="L144" s="10" t="s">
        <v>1117</v>
      </c>
      <c r="M144" s="12" t="s">
        <v>1251</v>
      </c>
      <c r="N144" s="10" t="s">
        <v>1957</v>
      </c>
      <c r="O144" s="12" t="s">
        <v>1359</v>
      </c>
      <c r="P144" s="450" t="s">
        <v>2061</v>
      </c>
      <c r="Q144" s="451" t="s">
        <v>2383</v>
      </c>
      <c r="R144" s="10" t="s">
        <v>2514</v>
      </c>
      <c r="S144" s="12" t="s">
        <v>1021</v>
      </c>
      <c r="T144" s="10" t="s">
        <v>1876</v>
      </c>
      <c r="U144" s="833" t="s">
        <v>24</v>
      </c>
      <c r="V144" s="10" t="s">
        <v>2694</v>
      </c>
      <c r="W144" s="444" t="s">
        <v>2840</v>
      </c>
      <c r="X144" s="10" t="s">
        <v>3281</v>
      </c>
    </row>
    <row r="145" spans="1:24" ht="87.5">
      <c r="A145" s="12" t="s">
        <v>1147</v>
      </c>
      <c r="B145" s="10" t="s">
        <v>1147</v>
      </c>
      <c r="C145" s="12">
        <f>'Language 3'!C145</f>
        <v>0</v>
      </c>
      <c r="D145" s="10" t="s">
        <v>564</v>
      </c>
      <c r="E145" s="12" t="s">
        <v>689</v>
      </c>
      <c r="F145" s="10" t="s">
        <v>32</v>
      </c>
      <c r="G145" s="12" t="s">
        <v>1821</v>
      </c>
      <c r="H145" s="10" t="s">
        <v>46</v>
      </c>
      <c r="I145" s="444" t="s">
        <v>1320</v>
      </c>
      <c r="J145" s="10" t="s">
        <v>804</v>
      </c>
      <c r="K145" s="482" t="s">
        <v>1658</v>
      </c>
      <c r="L145" s="10" t="s">
        <v>836</v>
      </c>
      <c r="M145" s="12" t="s">
        <v>1252</v>
      </c>
      <c r="N145" s="10" t="s">
        <v>1958</v>
      </c>
      <c r="O145" s="12" t="s">
        <v>1360</v>
      </c>
      <c r="P145" s="450" t="s">
        <v>441</v>
      </c>
      <c r="Q145" s="451" t="s">
        <v>2384</v>
      </c>
      <c r="R145" s="10" t="s">
        <v>2515</v>
      </c>
      <c r="S145" s="12" t="s">
        <v>1022</v>
      </c>
      <c r="T145" s="10" t="s">
        <v>1877</v>
      </c>
      <c r="U145" s="833" t="s">
        <v>25</v>
      </c>
      <c r="V145" s="10" t="s">
        <v>2695</v>
      </c>
      <c r="W145" s="444" t="s">
        <v>2841</v>
      </c>
      <c r="X145" s="10" t="s">
        <v>3282</v>
      </c>
    </row>
    <row r="146" spans="1:24" ht="100">
      <c r="A146" s="12" t="s">
        <v>1659</v>
      </c>
      <c r="B146" s="10" t="s">
        <v>1659</v>
      </c>
      <c r="C146" s="12">
        <f>'Language 3'!C146</f>
        <v>0</v>
      </c>
      <c r="D146" s="10" t="s">
        <v>565</v>
      </c>
      <c r="E146" s="12" t="s">
        <v>1230</v>
      </c>
      <c r="F146" s="10" t="s">
        <v>33</v>
      </c>
      <c r="G146" s="12" t="s">
        <v>687</v>
      </c>
      <c r="H146" s="10" t="s">
        <v>779</v>
      </c>
      <c r="I146" s="444" t="s">
        <v>1215</v>
      </c>
      <c r="J146" s="10" t="s">
        <v>805</v>
      </c>
      <c r="K146" s="482" t="s">
        <v>290</v>
      </c>
      <c r="L146" s="10" t="s">
        <v>837</v>
      </c>
      <c r="M146" s="12" t="s">
        <v>1934</v>
      </c>
      <c r="N146" s="10" t="s">
        <v>1959</v>
      </c>
      <c r="O146" s="12" t="s">
        <v>1361</v>
      </c>
      <c r="P146" s="450" t="s">
        <v>1752</v>
      </c>
      <c r="Q146" s="451" t="s">
        <v>2385</v>
      </c>
      <c r="R146" s="10" t="s">
        <v>2516</v>
      </c>
      <c r="S146" s="12" t="s">
        <v>1375</v>
      </c>
      <c r="T146" s="10" t="s">
        <v>1878</v>
      </c>
      <c r="U146" s="833" t="s">
        <v>3512</v>
      </c>
      <c r="V146" s="10" t="s">
        <v>2696</v>
      </c>
      <c r="W146" s="444" t="s">
        <v>2842</v>
      </c>
      <c r="X146" s="10" t="s">
        <v>3283</v>
      </c>
    </row>
    <row r="147" spans="1:24" ht="157.5">
      <c r="A147" s="12" t="s">
        <v>1666</v>
      </c>
      <c r="B147" s="10" t="s">
        <v>1666</v>
      </c>
      <c r="C147" s="12">
        <f>'Language 3'!C147</f>
        <v>0</v>
      </c>
      <c r="D147" s="470" t="s">
        <v>1666</v>
      </c>
      <c r="E147" s="12" t="s">
        <v>1057</v>
      </c>
      <c r="F147" s="470" t="s">
        <v>1666</v>
      </c>
      <c r="G147" s="12" t="s">
        <v>1110</v>
      </c>
      <c r="H147" s="10" t="s">
        <v>2929</v>
      </c>
      <c r="I147" s="453" t="s">
        <v>3079</v>
      </c>
      <c r="J147" s="470" t="s">
        <v>1666</v>
      </c>
      <c r="K147" s="482" t="s">
        <v>493</v>
      </c>
      <c r="L147" s="470" t="s">
        <v>1666</v>
      </c>
      <c r="M147" s="470" t="s">
        <v>1666</v>
      </c>
      <c r="N147" s="474" t="s">
        <v>315</v>
      </c>
      <c r="O147" s="12" t="s">
        <v>826</v>
      </c>
      <c r="P147" s="454" t="s">
        <v>2062</v>
      </c>
      <c r="Q147" s="451" t="s">
        <v>2386</v>
      </c>
      <c r="R147" s="10" t="s">
        <v>2517</v>
      </c>
      <c r="S147" s="12" t="s">
        <v>1023</v>
      </c>
      <c r="T147" s="10" t="s">
        <v>278</v>
      </c>
      <c r="U147" s="833" t="s">
        <v>3513</v>
      </c>
      <c r="V147" s="10" t="s">
        <v>2697</v>
      </c>
      <c r="W147" s="444" t="s">
        <v>2843</v>
      </c>
      <c r="X147" s="10" t="s">
        <v>3284</v>
      </c>
    </row>
    <row r="148" spans="1:24" ht="52.5">
      <c r="A148" s="12" t="s">
        <v>1667</v>
      </c>
      <c r="B148" s="10" t="s">
        <v>1667</v>
      </c>
      <c r="C148" s="12">
        <f>'Language 3'!C148</f>
        <v>0</v>
      </c>
      <c r="D148" s="470" t="s">
        <v>1667</v>
      </c>
      <c r="E148" s="12" t="s">
        <v>1058</v>
      </c>
      <c r="F148" s="470" t="s">
        <v>1667</v>
      </c>
      <c r="G148" s="12" t="s">
        <v>1578</v>
      </c>
      <c r="H148" s="10" t="s">
        <v>2903</v>
      </c>
      <c r="I148" s="453" t="s">
        <v>3080</v>
      </c>
      <c r="J148" s="470" t="s">
        <v>1667</v>
      </c>
      <c r="K148" s="482" t="s">
        <v>486</v>
      </c>
      <c r="L148" s="470" t="s">
        <v>1667</v>
      </c>
      <c r="M148" s="470" t="s">
        <v>1667</v>
      </c>
      <c r="N148" s="474" t="s">
        <v>316</v>
      </c>
      <c r="O148" s="12" t="s">
        <v>827</v>
      </c>
      <c r="P148" s="450" t="s">
        <v>2063</v>
      </c>
      <c r="Q148" s="451" t="s">
        <v>2387</v>
      </c>
      <c r="R148" s="10" t="s">
        <v>2518</v>
      </c>
      <c r="S148" s="12" t="s">
        <v>1024</v>
      </c>
      <c r="T148" s="10" t="s">
        <v>1879</v>
      </c>
      <c r="U148" s="833" t="s">
        <v>3514</v>
      </c>
      <c r="V148" s="10" t="s">
        <v>2698</v>
      </c>
      <c r="W148" s="444" t="s">
        <v>2844</v>
      </c>
      <c r="X148" s="10" t="s">
        <v>3285</v>
      </c>
    </row>
    <row r="149" spans="1:24" ht="70">
      <c r="A149" s="12" t="s">
        <v>1669</v>
      </c>
      <c r="B149" s="10" t="s">
        <v>1669</v>
      </c>
      <c r="C149" s="12">
        <f>'Language 3'!C149</f>
        <v>0</v>
      </c>
      <c r="D149" s="470" t="s">
        <v>1669</v>
      </c>
      <c r="E149" s="12" t="s">
        <v>1059</v>
      </c>
      <c r="F149" s="470" t="s">
        <v>1669</v>
      </c>
      <c r="G149" s="12" t="s">
        <v>1579</v>
      </c>
      <c r="H149" s="10" t="s">
        <v>2904</v>
      </c>
      <c r="I149" s="453" t="s">
        <v>3081</v>
      </c>
      <c r="J149" s="470" t="s">
        <v>1669</v>
      </c>
      <c r="K149" s="482" t="s">
        <v>487</v>
      </c>
      <c r="L149" s="470" t="s">
        <v>1669</v>
      </c>
      <c r="M149" s="470" t="s">
        <v>1669</v>
      </c>
      <c r="N149" s="474" t="s">
        <v>317</v>
      </c>
      <c r="O149" s="12" t="s">
        <v>829</v>
      </c>
      <c r="P149" s="454" t="s">
        <v>2064</v>
      </c>
      <c r="Q149" s="451" t="s">
        <v>2388</v>
      </c>
      <c r="R149" s="10" t="s">
        <v>2519</v>
      </c>
      <c r="S149" s="12" t="s">
        <v>1025</v>
      </c>
      <c r="T149" s="10" t="s">
        <v>1880</v>
      </c>
      <c r="U149" s="832" t="s">
        <v>3515</v>
      </c>
      <c r="V149" s="10" t="s">
        <v>2699</v>
      </c>
      <c r="W149" s="444" t="s">
        <v>2845</v>
      </c>
      <c r="X149" s="10" t="s">
        <v>3286</v>
      </c>
    </row>
    <row r="150" spans="1:24" ht="17.5">
      <c r="A150" s="460" t="s">
        <v>2935</v>
      </c>
      <c r="B150" s="249" t="s">
        <v>2935</v>
      </c>
      <c r="C150" s="12">
        <f>'Language 3'!C150</f>
        <v>0</v>
      </c>
      <c r="D150" s="470" t="s">
        <v>1668</v>
      </c>
      <c r="E150" s="12" t="s">
        <v>1060</v>
      </c>
      <c r="F150" s="470" t="s">
        <v>1668</v>
      </c>
      <c r="G150" s="12" t="s">
        <v>1580</v>
      </c>
      <c r="H150" s="10" t="s">
        <v>2902</v>
      </c>
      <c r="I150" s="453" t="s">
        <v>3082</v>
      </c>
      <c r="J150" s="470" t="s">
        <v>1668</v>
      </c>
      <c r="K150" s="482" t="s">
        <v>488</v>
      </c>
      <c r="L150" s="470" t="s">
        <v>1668</v>
      </c>
      <c r="M150" s="470" t="s">
        <v>1668</v>
      </c>
      <c r="N150" s="474" t="s">
        <v>318</v>
      </c>
      <c r="O150" s="12" t="s">
        <v>828</v>
      </c>
      <c r="P150" s="450" t="s">
        <v>2065</v>
      </c>
      <c r="Q150" s="451" t="s">
        <v>2389</v>
      </c>
      <c r="R150" s="10" t="s">
        <v>2389</v>
      </c>
      <c r="S150" s="12" t="s">
        <v>1376</v>
      </c>
      <c r="T150" s="10" t="s">
        <v>1885</v>
      </c>
      <c r="U150" s="833" t="s">
        <v>3516</v>
      </c>
      <c r="V150" s="10" t="s">
        <v>2700</v>
      </c>
      <c r="W150" s="444" t="s">
        <v>2846</v>
      </c>
      <c r="X150" s="10" t="s">
        <v>3287</v>
      </c>
    </row>
    <row r="151" spans="1:24" ht="17.5">
      <c r="A151" s="12" t="s">
        <v>1064</v>
      </c>
      <c r="B151" s="10" t="s">
        <v>1064</v>
      </c>
      <c r="C151" s="12">
        <f>'Language 3'!C151</f>
        <v>0</v>
      </c>
      <c r="D151" s="10" t="s">
        <v>1065</v>
      </c>
      <c r="E151" s="12" t="s">
        <v>1066</v>
      </c>
      <c r="F151" s="10" t="s">
        <v>1067</v>
      </c>
      <c r="G151" s="12" t="s">
        <v>1068</v>
      </c>
      <c r="H151" s="10" t="s">
        <v>1069</v>
      </c>
      <c r="I151" s="444" t="s">
        <v>1070</v>
      </c>
      <c r="J151" s="10" t="s">
        <v>1071</v>
      </c>
      <c r="K151" s="482" t="s">
        <v>1072</v>
      </c>
      <c r="L151" s="10" t="s">
        <v>1073</v>
      </c>
      <c r="M151" s="445" t="s">
        <v>2159</v>
      </c>
      <c r="N151" s="10" t="s">
        <v>1074</v>
      </c>
      <c r="O151" s="12" t="s">
        <v>830</v>
      </c>
      <c r="P151" s="450" t="s">
        <v>387</v>
      </c>
      <c r="Q151" s="451" t="s">
        <v>1064</v>
      </c>
      <c r="R151" s="10" t="s">
        <v>1064</v>
      </c>
      <c r="S151" s="12" t="s">
        <v>1065</v>
      </c>
      <c r="T151" s="10" t="s">
        <v>354</v>
      </c>
      <c r="U151" s="833" t="s">
        <v>26</v>
      </c>
      <c r="V151" s="10" t="s">
        <v>2701</v>
      </c>
      <c r="W151" s="444" t="s">
        <v>2847</v>
      </c>
      <c r="X151" s="10" t="s">
        <v>3288</v>
      </c>
    </row>
    <row r="152" spans="1:24" ht="35">
      <c r="A152" s="12" t="s">
        <v>1063</v>
      </c>
      <c r="B152" s="10" t="s">
        <v>1063</v>
      </c>
      <c r="C152" s="12">
        <f>'Language 3'!C152</f>
        <v>0</v>
      </c>
      <c r="D152" s="470" t="s">
        <v>1063</v>
      </c>
      <c r="E152" s="12" t="s">
        <v>1075</v>
      </c>
      <c r="F152" s="470" t="s">
        <v>1063</v>
      </c>
      <c r="G152" s="12" t="s">
        <v>1581</v>
      </c>
      <c r="H152" s="10" t="s">
        <v>2905</v>
      </c>
      <c r="I152" s="453" t="s">
        <v>3083</v>
      </c>
      <c r="J152" s="470" t="s">
        <v>1063</v>
      </c>
      <c r="K152" s="482" t="s">
        <v>489</v>
      </c>
      <c r="L152" s="470" t="s">
        <v>1063</v>
      </c>
      <c r="M152" s="470" t="s">
        <v>1063</v>
      </c>
      <c r="N152" s="474" t="s">
        <v>319</v>
      </c>
      <c r="O152" s="12" t="s">
        <v>831</v>
      </c>
      <c r="P152" s="454" t="s">
        <v>2066</v>
      </c>
      <c r="Q152" s="451" t="s">
        <v>2390</v>
      </c>
      <c r="R152" s="10" t="s">
        <v>2520</v>
      </c>
      <c r="S152" s="12" t="s">
        <v>1026</v>
      </c>
      <c r="T152" s="10" t="s">
        <v>1881</v>
      </c>
      <c r="U152" s="833" t="s">
        <v>3517</v>
      </c>
      <c r="V152" s="10" t="s">
        <v>2702</v>
      </c>
      <c r="W152" s="444" t="s">
        <v>2848</v>
      </c>
      <c r="X152" s="10" t="s">
        <v>3289</v>
      </c>
    </row>
    <row r="153" spans="1:24" ht="35">
      <c r="A153" s="12" t="s">
        <v>1062</v>
      </c>
      <c r="B153" s="10" t="s">
        <v>1062</v>
      </c>
      <c r="C153" s="12">
        <f>'Language 3'!C153</f>
        <v>0</v>
      </c>
      <c r="D153" s="470" t="s">
        <v>1062</v>
      </c>
      <c r="E153" s="12" t="s">
        <v>1076</v>
      </c>
      <c r="F153" s="470" t="s">
        <v>1062</v>
      </c>
      <c r="G153" s="12" t="s">
        <v>1582</v>
      </c>
      <c r="H153" s="10" t="s">
        <v>2906</v>
      </c>
      <c r="I153" s="453" t="s">
        <v>3084</v>
      </c>
      <c r="J153" s="470" t="s">
        <v>1062</v>
      </c>
      <c r="K153" s="482" t="s">
        <v>490</v>
      </c>
      <c r="L153" s="470" t="s">
        <v>1062</v>
      </c>
      <c r="M153" s="470" t="s">
        <v>1062</v>
      </c>
      <c r="N153" s="474" t="s">
        <v>320</v>
      </c>
      <c r="O153" s="12" t="s">
        <v>832</v>
      </c>
      <c r="P153" s="454" t="s">
        <v>2067</v>
      </c>
      <c r="Q153" s="451" t="s">
        <v>2391</v>
      </c>
      <c r="R153" s="10" t="s">
        <v>2521</v>
      </c>
      <c r="S153" s="12" t="s">
        <v>1029</v>
      </c>
      <c r="T153" s="10" t="s">
        <v>1882</v>
      </c>
      <c r="U153" s="833" t="s">
        <v>3518</v>
      </c>
      <c r="V153" s="10" t="s">
        <v>2703</v>
      </c>
      <c r="W153" s="453" t="s">
        <v>2849</v>
      </c>
      <c r="X153" s="10" t="s">
        <v>3290</v>
      </c>
    </row>
    <row r="154" spans="1:24">
      <c r="A154" s="12" t="s">
        <v>882</v>
      </c>
      <c r="B154" s="10" t="s">
        <v>1077</v>
      </c>
      <c r="C154" s="12">
        <f>'Language 3'!C154</f>
        <v>0</v>
      </c>
      <c r="D154" s="10" t="s">
        <v>1078</v>
      </c>
      <c r="E154" s="12" t="s">
        <v>128</v>
      </c>
      <c r="F154" s="10" t="s">
        <v>1079</v>
      </c>
      <c r="G154" s="12" t="s">
        <v>1080</v>
      </c>
      <c r="H154" s="10" t="s">
        <v>1081</v>
      </c>
      <c r="I154" s="444" t="s">
        <v>1082</v>
      </c>
      <c r="J154" s="10" t="s">
        <v>1083</v>
      </c>
      <c r="K154" s="482" t="s">
        <v>2190</v>
      </c>
      <c r="L154" s="10" t="s">
        <v>1084</v>
      </c>
      <c r="M154" s="12" t="s">
        <v>1085</v>
      </c>
      <c r="N154" s="10" t="s">
        <v>915</v>
      </c>
      <c r="O154" s="12" t="s">
        <v>833</v>
      </c>
      <c r="P154" s="450" t="s">
        <v>2055</v>
      </c>
      <c r="Q154" s="451" t="s">
        <v>2366</v>
      </c>
      <c r="R154" s="10" t="s">
        <v>2497</v>
      </c>
      <c r="S154" s="12" t="s">
        <v>2085</v>
      </c>
      <c r="T154" s="10" t="s">
        <v>1861</v>
      </c>
      <c r="U154" s="833" t="s">
        <v>3519</v>
      </c>
      <c r="V154" s="10" t="s">
        <v>2704</v>
      </c>
      <c r="W154" s="444" t="s">
        <v>2850</v>
      </c>
      <c r="X154" s="10" t="s">
        <v>3291</v>
      </c>
    </row>
    <row r="155" spans="1:24" ht="52.5">
      <c r="A155" s="12" t="s">
        <v>1233</v>
      </c>
      <c r="B155" s="10" t="s">
        <v>1233</v>
      </c>
      <c r="C155" s="12">
        <f>'Language 3'!C155</f>
        <v>0</v>
      </c>
      <c r="D155" s="470" t="s">
        <v>1233</v>
      </c>
      <c r="E155" s="12" t="s">
        <v>1234</v>
      </c>
      <c r="F155" s="470" t="s">
        <v>1233</v>
      </c>
      <c r="G155" s="12" t="s">
        <v>1583</v>
      </c>
      <c r="H155" s="10" t="s">
        <v>2908</v>
      </c>
      <c r="I155" s="453" t="s">
        <v>3085</v>
      </c>
      <c r="J155" s="470" t="s">
        <v>1233</v>
      </c>
      <c r="K155" s="482" t="s">
        <v>491</v>
      </c>
      <c r="L155" s="470" t="s">
        <v>1233</v>
      </c>
      <c r="M155" s="470" t="s">
        <v>1233</v>
      </c>
      <c r="N155" s="474" t="s">
        <v>321</v>
      </c>
      <c r="O155" s="12" t="s">
        <v>835</v>
      </c>
      <c r="P155" s="454" t="s">
        <v>2068</v>
      </c>
      <c r="Q155" s="451" t="s">
        <v>2392</v>
      </c>
      <c r="R155" s="10" t="s">
        <v>2522</v>
      </c>
      <c r="S155" s="12" t="s">
        <v>1027</v>
      </c>
      <c r="T155" s="10" t="s">
        <v>1883</v>
      </c>
      <c r="U155" s="833" t="s">
        <v>3520</v>
      </c>
      <c r="V155" s="10" t="s">
        <v>2705</v>
      </c>
      <c r="W155" s="444" t="s">
        <v>2851</v>
      </c>
      <c r="X155" s="10" t="s">
        <v>3292</v>
      </c>
    </row>
    <row r="156" spans="1:24" ht="52.5">
      <c r="A156" s="12" t="s">
        <v>1236</v>
      </c>
      <c r="B156" s="10" t="s">
        <v>1236</v>
      </c>
      <c r="C156" s="12">
        <f>'Language 3'!C156</f>
        <v>0</v>
      </c>
      <c r="D156" s="470" t="s">
        <v>1236</v>
      </c>
      <c r="E156" s="12" t="s">
        <v>1237</v>
      </c>
      <c r="F156" s="470" t="s">
        <v>1236</v>
      </c>
      <c r="G156" s="12" t="s">
        <v>1584</v>
      </c>
      <c r="H156" s="10" t="s">
        <v>2907</v>
      </c>
      <c r="I156" s="453" t="s">
        <v>3086</v>
      </c>
      <c r="J156" s="470" t="s">
        <v>1236</v>
      </c>
      <c r="K156" s="482" t="s">
        <v>492</v>
      </c>
      <c r="L156" s="470" t="s">
        <v>1236</v>
      </c>
      <c r="M156" s="470" t="s">
        <v>1236</v>
      </c>
      <c r="N156" s="474" t="s">
        <v>322</v>
      </c>
      <c r="O156" s="12" t="s">
        <v>834</v>
      </c>
      <c r="P156" s="454" t="s">
        <v>2069</v>
      </c>
      <c r="Q156" s="451" t="s">
        <v>2393</v>
      </c>
      <c r="R156" s="10" t="s">
        <v>2523</v>
      </c>
      <c r="S156" s="12" t="s">
        <v>1028</v>
      </c>
      <c r="T156" s="10" t="s">
        <v>1884</v>
      </c>
      <c r="U156" s="833" t="s">
        <v>3521</v>
      </c>
      <c r="V156" s="10" t="s">
        <v>2706</v>
      </c>
      <c r="W156" s="444" t="s">
        <v>2852</v>
      </c>
      <c r="X156" s="10" t="s">
        <v>3293</v>
      </c>
    </row>
    <row r="157" spans="1:24" ht="25">
      <c r="A157" s="460" t="s">
        <v>663</v>
      </c>
      <c r="B157" s="249" t="s">
        <v>663</v>
      </c>
      <c r="C157" s="12">
        <f>'Language 3'!C157</f>
        <v>0</v>
      </c>
      <c r="D157" s="473" t="s">
        <v>663</v>
      </c>
      <c r="E157" s="12" t="s">
        <v>2855</v>
      </c>
      <c r="F157" s="473" t="s">
        <v>663</v>
      </c>
      <c r="G157" s="473" t="s">
        <v>663</v>
      </c>
      <c r="H157" s="249" t="s">
        <v>2909</v>
      </c>
      <c r="I157" s="453" t="s">
        <v>3064</v>
      </c>
      <c r="J157" s="473" t="s">
        <v>663</v>
      </c>
      <c r="K157" s="482" t="s">
        <v>3338</v>
      </c>
      <c r="L157" s="473" t="s">
        <v>663</v>
      </c>
      <c r="M157" s="473" t="s">
        <v>663</v>
      </c>
      <c r="N157" s="473" t="s">
        <v>663</v>
      </c>
      <c r="O157" s="473" t="s">
        <v>663</v>
      </c>
      <c r="P157" s="473" t="s">
        <v>663</v>
      </c>
      <c r="Q157" s="473" t="s">
        <v>663</v>
      </c>
      <c r="R157" s="473" t="s">
        <v>663</v>
      </c>
      <c r="S157" s="473" t="s">
        <v>663</v>
      </c>
      <c r="T157" s="473" t="s">
        <v>663</v>
      </c>
      <c r="U157" s="833" t="s">
        <v>3522</v>
      </c>
      <c r="V157" s="473" t="s">
        <v>663</v>
      </c>
      <c r="W157" s="453" t="s">
        <v>2878</v>
      </c>
      <c r="X157" s="249" t="s">
        <v>3294</v>
      </c>
    </row>
    <row r="158" spans="1:24">
      <c r="A158" s="460" t="s">
        <v>665</v>
      </c>
      <c r="B158" s="249" t="s">
        <v>665</v>
      </c>
      <c r="C158" s="12">
        <f>'Language 3'!C158</f>
        <v>0</v>
      </c>
      <c r="D158" s="473" t="s">
        <v>665</v>
      </c>
      <c r="E158" s="12" t="s">
        <v>2856</v>
      </c>
      <c r="F158" s="473" t="s">
        <v>665</v>
      </c>
      <c r="G158" s="473" t="s">
        <v>665</v>
      </c>
      <c r="H158" s="249" t="s">
        <v>2910</v>
      </c>
      <c r="I158" s="453" t="s">
        <v>3087</v>
      </c>
      <c r="J158" s="473" t="s">
        <v>665</v>
      </c>
      <c r="K158" s="482" t="s">
        <v>3087</v>
      </c>
      <c r="L158" s="473" t="s">
        <v>665</v>
      </c>
      <c r="M158" s="473" t="s">
        <v>665</v>
      </c>
      <c r="N158" s="473" t="s">
        <v>665</v>
      </c>
      <c r="O158" s="473" t="s">
        <v>665</v>
      </c>
      <c r="P158" s="473" t="s">
        <v>665</v>
      </c>
      <c r="Q158" s="473" t="s">
        <v>665</v>
      </c>
      <c r="R158" s="473" t="s">
        <v>665</v>
      </c>
      <c r="S158" s="473" t="s">
        <v>665</v>
      </c>
      <c r="T158" s="473" t="s">
        <v>665</v>
      </c>
      <c r="U158" s="833" t="s">
        <v>3523</v>
      </c>
      <c r="V158" s="473" t="s">
        <v>665</v>
      </c>
      <c r="W158" s="453" t="s">
        <v>2879</v>
      </c>
      <c r="X158" s="249" t="s">
        <v>3295</v>
      </c>
    </row>
    <row r="159" spans="1:24" ht="25">
      <c r="A159" s="460" t="s">
        <v>681</v>
      </c>
      <c r="B159" s="249" t="s">
        <v>681</v>
      </c>
      <c r="C159" s="12">
        <f>'Language 3'!C159</f>
        <v>0</v>
      </c>
      <c r="D159" s="473" t="s">
        <v>681</v>
      </c>
      <c r="E159" s="12" t="s">
        <v>2857</v>
      </c>
      <c r="F159" s="473" t="s">
        <v>681</v>
      </c>
      <c r="G159" s="473" t="s">
        <v>681</v>
      </c>
      <c r="H159" s="249" t="s">
        <v>2911</v>
      </c>
      <c r="I159" s="453" t="s">
        <v>3088</v>
      </c>
      <c r="J159" s="473" t="s">
        <v>681</v>
      </c>
      <c r="K159" s="482" t="s">
        <v>3339</v>
      </c>
      <c r="L159" s="473" t="s">
        <v>681</v>
      </c>
      <c r="M159" s="473" t="s">
        <v>681</v>
      </c>
      <c r="N159" s="473" t="s">
        <v>681</v>
      </c>
      <c r="O159" s="473" t="s">
        <v>681</v>
      </c>
      <c r="P159" s="473" t="s">
        <v>681</v>
      </c>
      <c r="Q159" s="473" t="s">
        <v>681</v>
      </c>
      <c r="R159" s="473" t="s">
        <v>681</v>
      </c>
      <c r="S159" s="473" t="s">
        <v>681</v>
      </c>
      <c r="T159" s="473" t="s">
        <v>681</v>
      </c>
      <c r="U159" s="832" t="s">
        <v>3524</v>
      </c>
      <c r="V159" s="473" t="s">
        <v>681</v>
      </c>
      <c r="W159" s="453" t="s">
        <v>2880</v>
      </c>
      <c r="X159" s="249" t="s">
        <v>3296</v>
      </c>
    </row>
    <row r="160" spans="1:24">
      <c r="A160" s="460" t="s">
        <v>658</v>
      </c>
      <c r="B160" s="249" t="s">
        <v>658</v>
      </c>
      <c r="C160" s="12">
        <f>'Language 3'!C160</f>
        <v>0</v>
      </c>
      <c r="D160" s="473" t="s">
        <v>658</v>
      </c>
      <c r="E160" s="12" t="s">
        <v>2858</v>
      </c>
      <c r="F160" s="473" t="s">
        <v>658</v>
      </c>
      <c r="G160" s="473" t="s">
        <v>658</v>
      </c>
      <c r="H160" s="249" t="s">
        <v>2912</v>
      </c>
      <c r="I160" s="453" t="s">
        <v>3089</v>
      </c>
      <c r="J160" s="473" t="s">
        <v>658</v>
      </c>
      <c r="K160" s="482" t="s">
        <v>3340</v>
      </c>
      <c r="L160" s="473" t="s">
        <v>658</v>
      </c>
      <c r="M160" s="473" t="s">
        <v>658</v>
      </c>
      <c r="N160" s="473" t="s">
        <v>658</v>
      </c>
      <c r="O160" s="473" t="s">
        <v>658</v>
      </c>
      <c r="P160" s="473" t="s">
        <v>658</v>
      </c>
      <c r="Q160" s="473" t="s">
        <v>658</v>
      </c>
      <c r="R160" s="473" t="s">
        <v>658</v>
      </c>
      <c r="S160" s="473" t="s">
        <v>658</v>
      </c>
      <c r="T160" s="473" t="s">
        <v>658</v>
      </c>
      <c r="U160" s="832" t="s">
        <v>3525</v>
      </c>
      <c r="V160" s="473" t="s">
        <v>658</v>
      </c>
      <c r="W160" s="453" t="s">
        <v>2881</v>
      </c>
      <c r="X160" s="249" t="s">
        <v>3297</v>
      </c>
    </row>
    <row r="161" spans="1:24">
      <c r="A161" s="460" t="s">
        <v>669</v>
      </c>
      <c r="B161" s="249" t="s">
        <v>669</v>
      </c>
      <c r="C161" s="12">
        <f>'Language 3'!C161</f>
        <v>0</v>
      </c>
      <c r="D161" s="473" t="s">
        <v>669</v>
      </c>
      <c r="E161" s="12" t="s">
        <v>2859</v>
      </c>
      <c r="F161" s="473" t="s">
        <v>669</v>
      </c>
      <c r="G161" s="473" t="s">
        <v>669</v>
      </c>
      <c r="H161" s="249" t="s">
        <v>2913</v>
      </c>
      <c r="I161" s="453" t="s">
        <v>3090</v>
      </c>
      <c r="J161" s="473" t="s">
        <v>669</v>
      </c>
      <c r="K161" s="482" t="s">
        <v>3341</v>
      </c>
      <c r="L161" s="473" t="s">
        <v>669</v>
      </c>
      <c r="M161" s="473" t="s">
        <v>669</v>
      </c>
      <c r="N161" s="473" t="s">
        <v>669</v>
      </c>
      <c r="O161" s="473" t="s">
        <v>669</v>
      </c>
      <c r="P161" s="473" t="s">
        <v>669</v>
      </c>
      <c r="Q161" s="473" t="s">
        <v>669</v>
      </c>
      <c r="R161" s="473" t="s">
        <v>669</v>
      </c>
      <c r="S161" s="473" t="s">
        <v>669</v>
      </c>
      <c r="T161" s="473" t="s">
        <v>669</v>
      </c>
      <c r="U161" s="832" t="s">
        <v>3526</v>
      </c>
      <c r="V161" s="473" t="s">
        <v>669</v>
      </c>
      <c r="W161" s="453" t="s">
        <v>2882</v>
      </c>
      <c r="X161" s="249" t="s">
        <v>3298</v>
      </c>
    </row>
    <row r="162" spans="1:24">
      <c r="A162" s="460" t="s">
        <v>664</v>
      </c>
      <c r="B162" s="249" t="s">
        <v>664</v>
      </c>
      <c r="C162" s="12">
        <f>'Language 3'!C162</f>
        <v>0</v>
      </c>
      <c r="D162" s="473" t="s">
        <v>664</v>
      </c>
      <c r="E162" s="12" t="s">
        <v>2860</v>
      </c>
      <c r="F162" s="473" t="s">
        <v>664</v>
      </c>
      <c r="G162" s="473" t="s">
        <v>664</v>
      </c>
      <c r="H162" s="249" t="s">
        <v>2914</v>
      </c>
      <c r="I162" s="453" t="s">
        <v>3091</v>
      </c>
      <c r="J162" s="473" t="s">
        <v>664</v>
      </c>
      <c r="K162" s="482" t="s">
        <v>3342</v>
      </c>
      <c r="L162" s="473" t="s">
        <v>664</v>
      </c>
      <c r="M162" s="473" t="s">
        <v>664</v>
      </c>
      <c r="N162" s="473" t="s">
        <v>664</v>
      </c>
      <c r="O162" s="473" t="s">
        <v>664</v>
      </c>
      <c r="P162" s="473" t="s">
        <v>664</v>
      </c>
      <c r="Q162" s="473" t="s">
        <v>664</v>
      </c>
      <c r="R162" s="473" t="s">
        <v>664</v>
      </c>
      <c r="S162" s="473" t="s">
        <v>664</v>
      </c>
      <c r="T162" s="473" t="s">
        <v>664</v>
      </c>
      <c r="U162" s="832" t="s">
        <v>3527</v>
      </c>
      <c r="V162" s="473" t="s">
        <v>664</v>
      </c>
      <c r="W162" s="453" t="s">
        <v>2883</v>
      </c>
      <c r="X162" s="249" t="s">
        <v>3299</v>
      </c>
    </row>
    <row r="163" spans="1:24">
      <c r="A163" s="460" t="s">
        <v>679</v>
      </c>
      <c r="B163" s="249" t="s">
        <v>679</v>
      </c>
      <c r="C163" s="12">
        <f>'Language 3'!C163</f>
        <v>0</v>
      </c>
      <c r="D163" s="473" t="s">
        <v>679</v>
      </c>
      <c r="E163" s="12" t="s">
        <v>2874</v>
      </c>
      <c r="F163" s="473" t="s">
        <v>679</v>
      </c>
      <c r="G163" s="473" t="s">
        <v>679</v>
      </c>
      <c r="H163" s="249" t="s">
        <v>2915</v>
      </c>
      <c r="I163" s="453" t="s">
        <v>1082</v>
      </c>
      <c r="J163" s="473" t="s">
        <v>679</v>
      </c>
      <c r="K163" s="482" t="s">
        <v>3343</v>
      </c>
      <c r="L163" s="473" t="s">
        <v>679</v>
      </c>
      <c r="M163" s="473" t="s">
        <v>679</v>
      </c>
      <c r="N163" s="473" t="s">
        <v>679</v>
      </c>
      <c r="O163" s="473" t="s">
        <v>679</v>
      </c>
      <c r="P163" s="473" t="s">
        <v>679</v>
      </c>
      <c r="Q163" s="473" t="s">
        <v>679</v>
      </c>
      <c r="R163" s="473" t="s">
        <v>679</v>
      </c>
      <c r="S163" s="473" t="s">
        <v>679</v>
      </c>
      <c r="T163" s="473" t="s">
        <v>679</v>
      </c>
      <c r="U163" s="832" t="s">
        <v>3528</v>
      </c>
      <c r="V163" s="473" t="s">
        <v>679</v>
      </c>
      <c r="W163" s="453" t="s">
        <v>2884</v>
      </c>
      <c r="X163" s="249" t="s">
        <v>3300</v>
      </c>
    </row>
    <row r="164" spans="1:24">
      <c r="A164" s="460" t="s">
        <v>660</v>
      </c>
      <c r="B164" s="249" t="s">
        <v>660</v>
      </c>
      <c r="C164" s="12">
        <f>'Language 3'!C164</f>
        <v>0</v>
      </c>
      <c r="D164" s="473" t="s">
        <v>660</v>
      </c>
      <c r="E164" s="12" t="s">
        <v>2861</v>
      </c>
      <c r="F164" s="473" t="s">
        <v>660</v>
      </c>
      <c r="G164" s="473" t="s">
        <v>660</v>
      </c>
      <c r="H164" s="249" t="s">
        <v>2916</v>
      </c>
      <c r="I164" s="453" t="s">
        <v>3092</v>
      </c>
      <c r="J164" s="473" t="s">
        <v>660</v>
      </c>
      <c r="K164" s="482" t="s">
        <v>3092</v>
      </c>
      <c r="L164" s="473" t="s">
        <v>660</v>
      </c>
      <c r="M164" s="473" t="s">
        <v>660</v>
      </c>
      <c r="N164" s="473" t="s">
        <v>660</v>
      </c>
      <c r="O164" s="473" t="s">
        <v>660</v>
      </c>
      <c r="P164" s="473" t="s">
        <v>660</v>
      </c>
      <c r="Q164" s="473" t="s">
        <v>660</v>
      </c>
      <c r="R164" s="473" t="s">
        <v>660</v>
      </c>
      <c r="S164" s="473" t="s">
        <v>660</v>
      </c>
      <c r="T164" s="473" t="s">
        <v>660</v>
      </c>
      <c r="U164" s="832" t="s">
        <v>3529</v>
      </c>
      <c r="V164" s="473" t="s">
        <v>660</v>
      </c>
      <c r="W164" s="453" t="s">
        <v>2885</v>
      </c>
      <c r="X164" s="249" t="s">
        <v>3301</v>
      </c>
    </row>
    <row r="165" spans="1:24">
      <c r="A165" s="460" t="s">
        <v>662</v>
      </c>
      <c r="B165" s="249" t="s">
        <v>662</v>
      </c>
      <c r="C165" s="12">
        <f>'Language 3'!C165</f>
        <v>0</v>
      </c>
      <c r="D165" s="473" t="s">
        <v>662</v>
      </c>
      <c r="E165" s="12" t="s">
        <v>2873</v>
      </c>
      <c r="F165" s="473" t="s">
        <v>662</v>
      </c>
      <c r="G165" s="473" t="s">
        <v>662</v>
      </c>
      <c r="H165" s="249" t="s">
        <v>2917</v>
      </c>
      <c r="I165" s="453" t="s">
        <v>3093</v>
      </c>
      <c r="J165" s="473" t="s">
        <v>662</v>
      </c>
      <c r="K165" s="482" t="s">
        <v>3344</v>
      </c>
      <c r="L165" s="473" t="s">
        <v>662</v>
      </c>
      <c r="M165" s="473" t="s">
        <v>662</v>
      </c>
      <c r="N165" s="473" t="s">
        <v>662</v>
      </c>
      <c r="O165" s="473" t="s">
        <v>662</v>
      </c>
      <c r="P165" s="473" t="s">
        <v>662</v>
      </c>
      <c r="Q165" s="473" t="s">
        <v>662</v>
      </c>
      <c r="R165" s="473" t="s">
        <v>662</v>
      </c>
      <c r="S165" s="473" t="s">
        <v>662</v>
      </c>
      <c r="T165" s="473" t="s">
        <v>662</v>
      </c>
      <c r="U165" s="832" t="s">
        <v>3530</v>
      </c>
      <c r="V165" s="473" t="s">
        <v>662</v>
      </c>
      <c r="W165" s="453" t="s">
        <v>2886</v>
      </c>
      <c r="X165" s="249" t="s">
        <v>3302</v>
      </c>
    </row>
    <row r="166" spans="1:24">
      <c r="A166" s="460" t="s">
        <v>659</v>
      </c>
      <c r="B166" s="249" t="s">
        <v>659</v>
      </c>
      <c r="C166" s="12">
        <f>'Language 3'!C166</f>
        <v>0</v>
      </c>
      <c r="D166" s="473" t="s">
        <v>659</v>
      </c>
      <c r="E166" s="12" t="s">
        <v>2862</v>
      </c>
      <c r="F166" s="473" t="s">
        <v>659</v>
      </c>
      <c r="G166" s="473" t="s">
        <v>659</v>
      </c>
      <c r="H166" s="249" t="s">
        <v>2918</v>
      </c>
      <c r="I166" s="453" t="s">
        <v>3094</v>
      </c>
      <c r="J166" s="473" t="s">
        <v>659</v>
      </c>
      <c r="K166" s="482" t="s">
        <v>3345</v>
      </c>
      <c r="L166" s="473" t="s">
        <v>659</v>
      </c>
      <c r="M166" s="473" t="s">
        <v>659</v>
      </c>
      <c r="N166" s="473" t="s">
        <v>659</v>
      </c>
      <c r="O166" s="473" t="s">
        <v>659</v>
      </c>
      <c r="P166" s="473" t="s">
        <v>659</v>
      </c>
      <c r="Q166" s="473" t="s">
        <v>659</v>
      </c>
      <c r="R166" s="473" t="s">
        <v>659</v>
      </c>
      <c r="S166" s="473" t="s">
        <v>659</v>
      </c>
      <c r="T166" s="473" t="s">
        <v>659</v>
      </c>
      <c r="U166" s="832" t="s">
        <v>3531</v>
      </c>
      <c r="V166" s="473" t="s">
        <v>659</v>
      </c>
      <c r="W166" s="453" t="s">
        <v>2887</v>
      </c>
      <c r="X166" s="249" t="s">
        <v>3303</v>
      </c>
    </row>
    <row r="167" spans="1:24">
      <c r="A167" s="460" t="s">
        <v>666</v>
      </c>
      <c r="B167" s="249" t="s">
        <v>666</v>
      </c>
      <c r="C167" s="12">
        <f>'Language 3'!C167</f>
        <v>0</v>
      </c>
      <c r="D167" s="473" t="s">
        <v>666</v>
      </c>
      <c r="E167" s="12" t="s">
        <v>2863</v>
      </c>
      <c r="F167" s="473" t="s">
        <v>666</v>
      </c>
      <c r="G167" s="473" t="s">
        <v>666</v>
      </c>
      <c r="H167" s="249" t="s">
        <v>2919</v>
      </c>
      <c r="I167" s="453" t="s">
        <v>3095</v>
      </c>
      <c r="J167" s="473" t="s">
        <v>666</v>
      </c>
      <c r="K167" s="482" t="s">
        <v>3346</v>
      </c>
      <c r="L167" s="473" t="s">
        <v>666</v>
      </c>
      <c r="M167" s="473" t="s">
        <v>666</v>
      </c>
      <c r="N167" s="473" t="s">
        <v>666</v>
      </c>
      <c r="O167" s="473" t="s">
        <v>666</v>
      </c>
      <c r="P167" s="473" t="s">
        <v>666</v>
      </c>
      <c r="Q167" s="473" t="s">
        <v>666</v>
      </c>
      <c r="R167" s="473" t="s">
        <v>666</v>
      </c>
      <c r="S167" s="473" t="s">
        <v>666</v>
      </c>
      <c r="T167" s="473" t="s">
        <v>666</v>
      </c>
      <c r="U167" s="832" t="s">
        <v>3532</v>
      </c>
      <c r="V167" s="473" t="s">
        <v>666</v>
      </c>
      <c r="W167" s="453" t="s">
        <v>2888</v>
      </c>
      <c r="X167" s="249" t="s">
        <v>3304</v>
      </c>
    </row>
    <row r="168" spans="1:24">
      <c r="A168" s="460" t="s">
        <v>668</v>
      </c>
      <c r="B168" s="249" t="s">
        <v>668</v>
      </c>
      <c r="C168" s="12">
        <f>'Language 3'!C168</f>
        <v>0</v>
      </c>
      <c r="D168" s="473" t="s">
        <v>668</v>
      </c>
      <c r="E168" s="12" t="s">
        <v>2864</v>
      </c>
      <c r="F168" s="473" t="s">
        <v>668</v>
      </c>
      <c r="G168" s="473" t="s">
        <v>668</v>
      </c>
      <c r="H168" s="249" t="s">
        <v>2918</v>
      </c>
      <c r="I168" s="453" t="s">
        <v>3096</v>
      </c>
      <c r="J168" s="473" t="s">
        <v>668</v>
      </c>
      <c r="K168" s="482" t="s">
        <v>3345</v>
      </c>
      <c r="L168" s="473" t="s">
        <v>668</v>
      </c>
      <c r="M168" s="473" t="s">
        <v>668</v>
      </c>
      <c r="N168" s="473" t="s">
        <v>668</v>
      </c>
      <c r="O168" s="473" t="s">
        <v>668</v>
      </c>
      <c r="P168" s="473" t="s">
        <v>668</v>
      </c>
      <c r="Q168" s="473" t="s">
        <v>668</v>
      </c>
      <c r="R168" s="473" t="s">
        <v>668</v>
      </c>
      <c r="S168" s="473" t="s">
        <v>668</v>
      </c>
      <c r="T168" s="473" t="s">
        <v>668</v>
      </c>
      <c r="U168" s="832" t="s">
        <v>3531</v>
      </c>
      <c r="V168" s="473" t="s">
        <v>668</v>
      </c>
      <c r="W168" s="453" t="s">
        <v>2889</v>
      </c>
      <c r="X168" s="249" t="s">
        <v>3305</v>
      </c>
    </row>
    <row r="169" spans="1:24">
      <c r="A169" s="460" t="s">
        <v>661</v>
      </c>
      <c r="B169" s="249" t="s">
        <v>661</v>
      </c>
      <c r="C169" s="12">
        <f>'Language 3'!C169</f>
        <v>0</v>
      </c>
      <c r="D169" s="473" t="s">
        <v>661</v>
      </c>
      <c r="E169" s="12" t="s">
        <v>661</v>
      </c>
      <c r="F169" s="473" t="s">
        <v>661</v>
      </c>
      <c r="G169" s="473" t="s">
        <v>661</v>
      </c>
      <c r="H169" s="249" t="s">
        <v>661</v>
      </c>
      <c r="I169" s="453" t="s">
        <v>661</v>
      </c>
      <c r="J169" s="473" t="s">
        <v>661</v>
      </c>
      <c r="K169" s="482" t="s">
        <v>661</v>
      </c>
      <c r="L169" s="473" t="s">
        <v>661</v>
      </c>
      <c r="M169" s="473" t="s">
        <v>661</v>
      </c>
      <c r="N169" s="473" t="s">
        <v>661</v>
      </c>
      <c r="O169" s="473" t="s">
        <v>661</v>
      </c>
      <c r="P169" s="473" t="s">
        <v>661</v>
      </c>
      <c r="Q169" s="473" t="s">
        <v>661</v>
      </c>
      <c r="R169" s="473" t="s">
        <v>661</v>
      </c>
      <c r="S169" s="473" t="s">
        <v>661</v>
      </c>
      <c r="T169" s="473" t="s">
        <v>661</v>
      </c>
      <c r="U169" s="833" t="s">
        <v>661</v>
      </c>
      <c r="V169" s="473" t="s">
        <v>661</v>
      </c>
      <c r="W169" s="453" t="s">
        <v>661</v>
      </c>
      <c r="X169" s="249" t="s">
        <v>3288</v>
      </c>
    </row>
    <row r="170" spans="1:24">
      <c r="A170" s="460" t="s">
        <v>671</v>
      </c>
      <c r="B170" s="249" t="s">
        <v>671</v>
      </c>
      <c r="C170" s="12">
        <f>'Language 3'!C170</f>
        <v>0</v>
      </c>
      <c r="D170" s="473" t="s">
        <v>671</v>
      </c>
      <c r="E170" s="12" t="s">
        <v>671</v>
      </c>
      <c r="F170" s="473" t="s">
        <v>671</v>
      </c>
      <c r="G170" s="473" t="s">
        <v>671</v>
      </c>
      <c r="H170" s="249" t="s">
        <v>671</v>
      </c>
      <c r="I170" s="453" t="s">
        <v>671</v>
      </c>
      <c r="J170" s="473" t="s">
        <v>671</v>
      </c>
      <c r="K170" s="482" t="s">
        <v>671</v>
      </c>
      <c r="L170" s="473" t="s">
        <v>671</v>
      </c>
      <c r="M170" s="473" t="s">
        <v>671</v>
      </c>
      <c r="N170" s="473" t="s">
        <v>671</v>
      </c>
      <c r="O170" s="473" t="s">
        <v>671</v>
      </c>
      <c r="P170" s="473" t="s">
        <v>671</v>
      </c>
      <c r="Q170" s="473" t="s">
        <v>671</v>
      </c>
      <c r="R170" s="473" t="s">
        <v>671</v>
      </c>
      <c r="S170" s="473" t="s">
        <v>671</v>
      </c>
      <c r="T170" s="473" t="s">
        <v>671</v>
      </c>
      <c r="U170" s="833" t="s">
        <v>671</v>
      </c>
      <c r="V170" s="473" t="s">
        <v>671</v>
      </c>
      <c r="W170" s="453" t="s">
        <v>671</v>
      </c>
      <c r="X170" s="249" t="s">
        <v>671</v>
      </c>
    </row>
    <row r="171" spans="1:24">
      <c r="A171" s="460" t="s">
        <v>680</v>
      </c>
      <c r="B171" s="249" t="s">
        <v>680</v>
      </c>
      <c r="C171" s="12">
        <f>'Language 3'!C171</f>
        <v>0</v>
      </c>
      <c r="D171" s="473" t="s">
        <v>680</v>
      </c>
      <c r="E171" s="12" t="s">
        <v>2874</v>
      </c>
      <c r="F171" s="473" t="s">
        <v>680</v>
      </c>
      <c r="G171" s="473" t="s">
        <v>680</v>
      </c>
      <c r="H171" s="249" t="s">
        <v>2920</v>
      </c>
      <c r="I171" s="453" t="s">
        <v>3097</v>
      </c>
      <c r="J171" s="473" t="s">
        <v>680</v>
      </c>
      <c r="K171" s="482" t="s">
        <v>3347</v>
      </c>
      <c r="L171" s="473" t="s">
        <v>680</v>
      </c>
      <c r="M171" s="473" t="s">
        <v>680</v>
      </c>
      <c r="N171" s="473" t="s">
        <v>680</v>
      </c>
      <c r="O171" s="473" t="s">
        <v>680</v>
      </c>
      <c r="P171" s="473" t="s">
        <v>680</v>
      </c>
      <c r="Q171" s="473" t="s">
        <v>680</v>
      </c>
      <c r="R171" s="473" t="s">
        <v>680</v>
      </c>
      <c r="S171" s="473" t="s">
        <v>680</v>
      </c>
      <c r="T171" s="473" t="s">
        <v>680</v>
      </c>
      <c r="U171" s="832" t="s">
        <v>3533</v>
      </c>
      <c r="V171" s="473" t="s">
        <v>680</v>
      </c>
      <c r="W171" s="453" t="s">
        <v>2890</v>
      </c>
      <c r="X171" s="249" t="s">
        <v>3306</v>
      </c>
    </row>
    <row r="172" spans="1:24" ht="25">
      <c r="A172" s="460" t="s">
        <v>2854</v>
      </c>
      <c r="B172" s="249" t="s">
        <v>2854</v>
      </c>
      <c r="C172" s="12">
        <f>'Language 3'!C172</f>
        <v>0</v>
      </c>
      <c r="D172" s="473" t="s">
        <v>2854</v>
      </c>
      <c r="E172" s="12" t="s">
        <v>2865</v>
      </c>
      <c r="F172" s="473" t="s">
        <v>2854</v>
      </c>
      <c r="G172" s="473" t="s">
        <v>2854</v>
      </c>
      <c r="H172" s="249" t="s">
        <v>2921</v>
      </c>
      <c r="I172" s="453" t="s">
        <v>3098</v>
      </c>
      <c r="J172" s="473" t="s">
        <v>2854</v>
      </c>
      <c r="K172" s="482" t="s">
        <v>3348</v>
      </c>
      <c r="L172" s="473" t="s">
        <v>2854</v>
      </c>
      <c r="M172" s="473" t="s">
        <v>2854</v>
      </c>
      <c r="N172" s="473" t="s">
        <v>2854</v>
      </c>
      <c r="O172" s="473" t="s">
        <v>2854</v>
      </c>
      <c r="P172" s="473" t="s">
        <v>2854</v>
      </c>
      <c r="Q172" s="473" t="s">
        <v>2854</v>
      </c>
      <c r="R172" s="473" t="s">
        <v>2854</v>
      </c>
      <c r="S172" s="473" t="s">
        <v>2854</v>
      </c>
      <c r="T172" s="473" t="s">
        <v>2854</v>
      </c>
      <c r="U172" s="832" t="s">
        <v>3534</v>
      </c>
      <c r="V172" s="473" t="s">
        <v>2854</v>
      </c>
      <c r="W172" s="453" t="s">
        <v>2891</v>
      </c>
      <c r="X172" s="249" t="s">
        <v>3307</v>
      </c>
    </row>
    <row r="173" spans="1:24" ht="25">
      <c r="A173" s="460" t="s">
        <v>672</v>
      </c>
      <c r="B173" s="249" t="s">
        <v>672</v>
      </c>
      <c r="C173" s="12">
        <f>'Language 3'!C173</f>
        <v>0</v>
      </c>
      <c r="D173" s="473" t="s">
        <v>672</v>
      </c>
      <c r="E173" s="12" t="s">
        <v>2875</v>
      </c>
      <c r="F173" s="473" t="s">
        <v>672</v>
      </c>
      <c r="G173" s="473" t="s">
        <v>672</v>
      </c>
      <c r="H173" s="249" t="s">
        <v>2921</v>
      </c>
      <c r="I173" s="453" t="s">
        <v>3099</v>
      </c>
      <c r="J173" s="473" t="s">
        <v>672</v>
      </c>
      <c r="K173" s="482" t="s">
        <v>3349</v>
      </c>
      <c r="L173" s="473" t="s">
        <v>672</v>
      </c>
      <c r="M173" s="473" t="s">
        <v>672</v>
      </c>
      <c r="N173" s="473" t="s">
        <v>672</v>
      </c>
      <c r="O173" s="473" t="s">
        <v>672</v>
      </c>
      <c r="P173" s="473" t="s">
        <v>672</v>
      </c>
      <c r="Q173" s="473" t="s">
        <v>672</v>
      </c>
      <c r="R173" s="473" t="s">
        <v>672</v>
      </c>
      <c r="S173" s="473" t="s">
        <v>672</v>
      </c>
      <c r="T173" s="473" t="s">
        <v>672</v>
      </c>
      <c r="U173" s="832" t="s">
        <v>3535</v>
      </c>
      <c r="V173" s="473" t="s">
        <v>672</v>
      </c>
      <c r="W173" s="453" t="s">
        <v>2892</v>
      </c>
      <c r="X173" s="249" t="s">
        <v>3308</v>
      </c>
    </row>
    <row r="174" spans="1:24" ht="25">
      <c r="A174" s="460" t="s">
        <v>670</v>
      </c>
      <c r="B174" s="249" t="s">
        <v>670</v>
      </c>
      <c r="C174" s="12">
        <f>'Language 3'!C174</f>
        <v>0</v>
      </c>
      <c r="D174" s="473" t="s">
        <v>670</v>
      </c>
      <c r="E174" s="12" t="s">
        <v>2867</v>
      </c>
      <c r="F174" s="473" t="s">
        <v>670</v>
      </c>
      <c r="G174" s="473" t="s">
        <v>670</v>
      </c>
      <c r="H174" s="249" t="s">
        <v>1188</v>
      </c>
      <c r="I174" s="453" t="s">
        <v>3060</v>
      </c>
      <c r="J174" s="473" t="s">
        <v>670</v>
      </c>
      <c r="K174" s="482" t="s">
        <v>3350</v>
      </c>
      <c r="L174" s="473" t="s">
        <v>670</v>
      </c>
      <c r="M174" s="473" t="s">
        <v>670</v>
      </c>
      <c r="N174" s="473" t="s">
        <v>670</v>
      </c>
      <c r="O174" s="473" t="s">
        <v>670</v>
      </c>
      <c r="P174" s="473" t="s">
        <v>670</v>
      </c>
      <c r="Q174" s="473" t="s">
        <v>670</v>
      </c>
      <c r="R174" s="473" t="s">
        <v>670</v>
      </c>
      <c r="S174" s="473" t="s">
        <v>670</v>
      </c>
      <c r="T174" s="473" t="s">
        <v>670</v>
      </c>
      <c r="U174" s="832" t="s">
        <v>3536</v>
      </c>
      <c r="V174" s="473" t="s">
        <v>670</v>
      </c>
      <c r="W174" s="453" t="s">
        <v>2893</v>
      </c>
      <c r="X174" s="249" t="s">
        <v>3309</v>
      </c>
    </row>
    <row r="175" spans="1:24" ht="25">
      <c r="A175" s="460" t="s">
        <v>673</v>
      </c>
      <c r="B175" s="249" t="s">
        <v>673</v>
      </c>
      <c r="C175" s="12">
        <f>'Language 3'!C175</f>
        <v>0</v>
      </c>
      <c r="D175" s="473" t="s">
        <v>673</v>
      </c>
      <c r="E175" s="12" t="s">
        <v>2868</v>
      </c>
      <c r="F175" s="473" t="s">
        <v>673</v>
      </c>
      <c r="G175" s="473" t="s">
        <v>673</v>
      </c>
      <c r="H175" s="249" t="s">
        <v>2922</v>
      </c>
      <c r="I175" s="453" t="s">
        <v>3100</v>
      </c>
      <c r="J175" s="473" t="s">
        <v>673</v>
      </c>
      <c r="K175" s="482" t="s">
        <v>3351</v>
      </c>
      <c r="L175" s="473" t="s">
        <v>673</v>
      </c>
      <c r="M175" s="473" t="s">
        <v>673</v>
      </c>
      <c r="N175" s="473" t="s">
        <v>673</v>
      </c>
      <c r="O175" s="473" t="s">
        <v>673</v>
      </c>
      <c r="P175" s="473" t="s">
        <v>673</v>
      </c>
      <c r="Q175" s="473" t="s">
        <v>673</v>
      </c>
      <c r="R175" s="473" t="s">
        <v>673</v>
      </c>
      <c r="S175" s="473" t="s">
        <v>673</v>
      </c>
      <c r="T175" s="473" t="s">
        <v>673</v>
      </c>
      <c r="U175" s="832" t="s">
        <v>3537</v>
      </c>
      <c r="V175" s="473" t="s">
        <v>673</v>
      </c>
      <c r="W175" s="453" t="s">
        <v>2894</v>
      </c>
      <c r="X175" s="249" t="s">
        <v>3310</v>
      </c>
    </row>
    <row r="176" spans="1:24" ht="25">
      <c r="A176" s="460" t="s">
        <v>2869</v>
      </c>
      <c r="B176" s="249" t="s">
        <v>2869</v>
      </c>
      <c r="C176" s="12">
        <f>'Language 3'!C176</f>
        <v>0</v>
      </c>
      <c r="D176" s="473" t="s">
        <v>2869</v>
      </c>
      <c r="E176" s="12" t="s">
        <v>2870</v>
      </c>
      <c r="F176" s="473" t="s">
        <v>2869</v>
      </c>
      <c r="G176" s="473" t="s">
        <v>2869</v>
      </c>
      <c r="H176" s="249" t="s">
        <v>2923</v>
      </c>
      <c r="I176" s="453" t="s">
        <v>3101</v>
      </c>
      <c r="J176" s="473" t="s">
        <v>2869</v>
      </c>
      <c r="K176" s="482" t="s">
        <v>3352</v>
      </c>
      <c r="L176" s="473" t="s">
        <v>2869</v>
      </c>
      <c r="M176" s="473" t="s">
        <v>2869</v>
      </c>
      <c r="N176" s="473" t="s">
        <v>2869</v>
      </c>
      <c r="O176" s="473" t="s">
        <v>2869</v>
      </c>
      <c r="P176" s="473" t="s">
        <v>2869</v>
      </c>
      <c r="Q176" s="473" t="s">
        <v>2869</v>
      </c>
      <c r="R176" s="473" t="s">
        <v>2869</v>
      </c>
      <c r="S176" s="473" t="s">
        <v>2869</v>
      </c>
      <c r="T176" s="473" t="s">
        <v>2869</v>
      </c>
      <c r="U176" s="832" t="s">
        <v>3538</v>
      </c>
      <c r="V176" s="473" t="s">
        <v>2869</v>
      </c>
      <c r="W176" s="453" t="s">
        <v>2895</v>
      </c>
      <c r="X176" s="249" t="s">
        <v>3311</v>
      </c>
    </row>
    <row r="177" spans="1:24" ht="37.5">
      <c r="A177" s="460" t="s">
        <v>674</v>
      </c>
      <c r="B177" s="249" t="s">
        <v>674</v>
      </c>
      <c r="C177" s="12">
        <f>'Language 3'!C177</f>
        <v>0</v>
      </c>
      <c r="D177" s="473" t="s">
        <v>674</v>
      </c>
      <c r="E177" s="12" t="s">
        <v>2876</v>
      </c>
      <c r="F177" s="473" t="s">
        <v>674</v>
      </c>
      <c r="G177" s="473" t="s">
        <v>674</v>
      </c>
      <c r="H177" s="249" t="s">
        <v>2924</v>
      </c>
      <c r="I177" s="453" t="s">
        <v>3102</v>
      </c>
      <c r="J177" s="473" t="s">
        <v>674</v>
      </c>
      <c r="K177" s="483" t="s">
        <v>3353</v>
      </c>
      <c r="L177" s="473" t="s">
        <v>674</v>
      </c>
      <c r="M177" s="473" t="s">
        <v>674</v>
      </c>
      <c r="N177" s="473" t="s">
        <v>674</v>
      </c>
      <c r="O177" s="473" t="s">
        <v>674</v>
      </c>
      <c r="P177" s="473" t="s">
        <v>674</v>
      </c>
      <c r="Q177" s="473" t="s">
        <v>674</v>
      </c>
      <c r="R177" s="473" t="s">
        <v>674</v>
      </c>
      <c r="S177" s="473" t="s">
        <v>674</v>
      </c>
      <c r="T177" s="473" t="s">
        <v>674</v>
      </c>
      <c r="U177" s="832" t="s">
        <v>3539</v>
      </c>
      <c r="V177" s="473" t="s">
        <v>674</v>
      </c>
      <c r="W177" s="453" t="s">
        <v>2896</v>
      </c>
      <c r="X177" s="249" t="s">
        <v>3312</v>
      </c>
    </row>
    <row r="178" spans="1:24" ht="25">
      <c r="A178" s="460" t="s">
        <v>676</v>
      </c>
      <c r="B178" s="249" t="s">
        <v>676</v>
      </c>
      <c r="C178" s="12">
        <f>'Language 3'!C178</f>
        <v>0</v>
      </c>
      <c r="D178" s="473" t="s">
        <v>676</v>
      </c>
      <c r="E178" s="12" t="s">
        <v>2877</v>
      </c>
      <c r="F178" s="473" t="s">
        <v>676</v>
      </c>
      <c r="G178" s="473" t="s">
        <v>676</v>
      </c>
      <c r="H178" s="249" t="s">
        <v>2925</v>
      </c>
      <c r="I178" s="453" t="s">
        <v>3103</v>
      </c>
      <c r="J178" s="473" t="s">
        <v>676</v>
      </c>
      <c r="K178" s="482" t="s">
        <v>3354</v>
      </c>
      <c r="L178" s="473" t="s">
        <v>676</v>
      </c>
      <c r="M178" s="473" t="s">
        <v>676</v>
      </c>
      <c r="N178" s="473" t="s">
        <v>676</v>
      </c>
      <c r="O178" s="473" t="s">
        <v>676</v>
      </c>
      <c r="P178" s="473" t="s">
        <v>676</v>
      </c>
      <c r="Q178" s="473" t="s">
        <v>676</v>
      </c>
      <c r="R178" s="473" t="s">
        <v>676</v>
      </c>
      <c r="S178" s="473" t="s">
        <v>676</v>
      </c>
      <c r="T178" s="473" t="s">
        <v>676</v>
      </c>
      <c r="U178" s="832" t="s">
        <v>3540</v>
      </c>
      <c r="V178" s="473" t="s">
        <v>676</v>
      </c>
      <c r="W178" s="453" t="s">
        <v>2897</v>
      </c>
      <c r="X178" s="249" t="s">
        <v>3313</v>
      </c>
    </row>
    <row r="179" spans="1:24" ht="25">
      <c r="A179" s="460" t="s">
        <v>675</v>
      </c>
      <c r="B179" s="249" t="s">
        <v>675</v>
      </c>
      <c r="C179" s="12">
        <f>'Language 3'!C179</f>
        <v>0</v>
      </c>
      <c r="D179" s="473" t="s">
        <v>675</v>
      </c>
      <c r="E179" s="12" t="s">
        <v>2871</v>
      </c>
      <c r="F179" s="473" t="s">
        <v>675</v>
      </c>
      <c r="G179" s="473" t="s">
        <v>675</v>
      </c>
      <c r="H179" s="249" t="s">
        <v>2926</v>
      </c>
      <c r="I179" s="453" t="s">
        <v>3104</v>
      </c>
      <c r="J179" s="473" t="s">
        <v>675</v>
      </c>
      <c r="K179" s="482" t="s">
        <v>3355</v>
      </c>
      <c r="L179" s="473" t="s">
        <v>675</v>
      </c>
      <c r="M179" s="473" t="s">
        <v>675</v>
      </c>
      <c r="N179" s="473" t="s">
        <v>675</v>
      </c>
      <c r="O179" s="473" t="s">
        <v>675</v>
      </c>
      <c r="P179" s="473" t="s">
        <v>675</v>
      </c>
      <c r="Q179" s="473" t="s">
        <v>675</v>
      </c>
      <c r="R179" s="473" t="s">
        <v>675</v>
      </c>
      <c r="S179" s="473" t="s">
        <v>675</v>
      </c>
      <c r="T179" s="473" t="s">
        <v>675</v>
      </c>
      <c r="U179" s="832" t="s">
        <v>3541</v>
      </c>
      <c r="V179" s="473" t="s">
        <v>675</v>
      </c>
      <c r="W179" s="453" t="s">
        <v>2898</v>
      </c>
      <c r="X179" s="249" t="s">
        <v>3314</v>
      </c>
    </row>
    <row r="180" spans="1:24" ht="25">
      <c r="A180" s="460" t="s">
        <v>677</v>
      </c>
      <c r="B180" s="249" t="s">
        <v>677</v>
      </c>
      <c r="C180" s="12">
        <f>'Language 3'!C180</f>
        <v>0</v>
      </c>
      <c r="D180" s="473" t="s">
        <v>677</v>
      </c>
      <c r="E180" s="12" t="s">
        <v>2872</v>
      </c>
      <c r="F180" s="473" t="s">
        <v>677</v>
      </c>
      <c r="G180" s="473" t="s">
        <v>677</v>
      </c>
      <c r="H180" s="249" t="s">
        <v>2927</v>
      </c>
      <c r="I180" s="453" t="s">
        <v>3105</v>
      </c>
      <c r="J180" s="473" t="s">
        <v>677</v>
      </c>
      <c r="K180" s="483" t="s">
        <v>3356</v>
      </c>
      <c r="L180" s="473" t="s">
        <v>677</v>
      </c>
      <c r="M180" s="473" t="s">
        <v>677</v>
      </c>
      <c r="N180" s="473" t="s">
        <v>677</v>
      </c>
      <c r="O180" s="473" t="s">
        <v>677</v>
      </c>
      <c r="P180" s="473" t="s">
        <v>677</v>
      </c>
      <c r="Q180" s="473" t="s">
        <v>677</v>
      </c>
      <c r="R180" s="473" t="s">
        <v>677</v>
      </c>
      <c r="S180" s="473" t="s">
        <v>677</v>
      </c>
      <c r="T180" s="473" t="s">
        <v>677</v>
      </c>
      <c r="U180" s="832" t="s">
        <v>3542</v>
      </c>
      <c r="V180" s="473" t="s">
        <v>677</v>
      </c>
      <c r="W180" s="453" t="s">
        <v>2899</v>
      </c>
      <c r="X180" s="249" t="s">
        <v>3315</v>
      </c>
    </row>
    <row r="181" spans="1:24" ht="25">
      <c r="A181" s="460" t="s">
        <v>1150</v>
      </c>
      <c r="B181" s="249" t="s">
        <v>1150</v>
      </c>
      <c r="C181" s="12">
        <f>'Language 3'!C181</f>
        <v>0</v>
      </c>
      <c r="D181" s="473" t="s">
        <v>1150</v>
      </c>
      <c r="E181" s="12" t="s">
        <v>1150</v>
      </c>
      <c r="F181" s="473" t="s">
        <v>1150</v>
      </c>
      <c r="G181" s="473" t="s">
        <v>1150</v>
      </c>
      <c r="H181" s="249" t="s">
        <v>1150</v>
      </c>
      <c r="I181" s="453" t="s">
        <v>3106</v>
      </c>
      <c r="J181" s="473" t="s">
        <v>1150</v>
      </c>
      <c r="K181" s="482" t="s">
        <v>3357</v>
      </c>
      <c r="L181" s="473" t="s">
        <v>1150</v>
      </c>
      <c r="M181" s="473" t="s">
        <v>1150</v>
      </c>
      <c r="N181" s="473" t="s">
        <v>1150</v>
      </c>
      <c r="O181" s="473" t="s">
        <v>1150</v>
      </c>
      <c r="P181" s="473" t="s">
        <v>1150</v>
      </c>
      <c r="Q181" s="473" t="s">
        <v>1150</v>
      </c>
      <c r="R181" s="473" t="s">
        <v>1150</v>
      </c>
      <c r="S181" s="473" t="s">
        <v>1150</v>
      </c>
      <c r="T181" s="473" t="s">
        <v>1150</v>
      </c>
      <c r="U181" s="832" t="s">
        <v>3543</v>
      </c>
      <c r="V181" s="473" t="s">
        <v>1150</v>
      </c>
      <c r="W181" s="453" t="s">
        <v>2900</v>
      </c>
      <c r="X181" s="249" t="s">
        <v>1150</v>
      </c>
    </row>
    <row r="182" spans="1:24" ht="25">
      <c r="A182" s="460" t="s">
        <v>672</v>
      </c>
      <c r="B182" s="249" t="s">
        <v>672</v>
      </c>
      <c r="C182" s="12">
        <f>'Language 3'!C182</f>
        <v>0</v>
      </c>
      <c r="D182" s="473" t="s">
        <v>672</v>
      </c>
      <c r="E182" s="12" t="s">
        <v>2866</v>
      </c>
      <c r="F182" s="473" t="s">
        <v>672</v>
      </c>
      <c r="G182" s="473" t="s">
        <v>672</v>
      </c>
      <c r="H182" s="249" t="s">
        <v>2928</v>
      </c>
      <c r="I182" s="453" t="s">
        <v>3099</v>
      </c>
      <c r="J182" s="473" t="s">
        <v>672</v>
      </c>
      <c r="K182" s="482" t="s">
        <v>3358</v>
      </c>
      <c r="L182" s="473" t="s">
        <v>672</v>
      </c>
      <c r="M182" s="473" t="s">
        <v>672</v>
      </c>
      <c r="N182" s="473" t="s">
        <v>672</v>
      </c>
      <c r="O182" s="473" t="s">
        <v>672</v>
      </c>
      <c r="P182" s="473" t="s">
        <v>672</v>
      </c>
      <c r="Q182" s="473" t="s">
        <v>672</v>
      </c>
      <c r="R182" s="473" t="s">
        <v>672</v>
      </c>
      <c r="S182" s="473" t="s">
        <v>672</v>
      </c>
      <c r="T182" s="473" t="s">
        <v>672</v>
      </c>
      <c r="U182" s="832" t="s">
        <v>3535</v>
      </c>
      <c r="V182" s="473" t="s">
        <v>672</v>
      </c>
      <c r="W182" s="453" t="s">
        <v>2892</v>
      </c>
      <c r="X182" s="249" t="s">
        <v>3308</v>
      </c>
    </row>
    <row r="183" spans="1:24">
      <c r="A183" s="460" t="s">
        <v>2936</v>
      </c>
      <c r="B183" s="10" t="s">
        <v>2936</v>
      </c>
      <c r="C183" s="12">
        <f>'Language 3'!C183</f>
        <v>0</v>
      </c>
      <c r="D183" s="10" t="s">
        <v>2936</v>
      </c>
      <c r="E183" s="460" t="s">
        <v>2936</v>
      </c>
      <c r="F183" s="10" t="s">
        <v>1671</v>
      </c>
      <c r="G183" s="460" t="s">
        <v>2936</v>
      </c>
      <c r="H183" s="249" t="s">
        <v>2936</v>
      </c>
      <c r="I183" s="453" t="s">
        <v>2936</v>
      </c>
      <c r="J183" s="249" t="s">
        <v>2936</v>
      </c>
      <c r="K183" s="482" t="s">
        <v>2936</v>
      </c>
      <c r="L183" s="249" t="s">
        <v>2936</v>
      </c>
      <c r="M183" s="12" t="s">
        <v>2159</v>
      </c>
      <c r="N183" s="10" t="s">
        <v>1672</v>
      </c>
      <c r="O183" s="460" t="s">
        <v>2936</v>
      </c>
      <c r="P183" s="450" t="s">
        <v>387</v>
      </c>
      <c r="Q183" s="475" t="s">
        <v>2937</v>
      </c>
      <c r="R183" s="249" t="s">
        <v>2936</v>
      </c>
      <c r="S183" s="460" t="s">
        <v>2936</v>
      </c>
      <c r="T183" s="249" t="s">
        <v>2936</v>
      </c>
      <c r="U183" s="833" t="s">
        <v>2936</v>
      </c>
      <c r="V183" s="10" t="s">
        <v>2647</v>
      </c>
      <c r="W183" s="453" t="s">
        <v>1671</v>
      </c>
      <c r="X183" s="249" t="s">
        <v>2936</v>
      </c>
    </row>
    <row r="184" spans="1:24" ht="25">
      <c r="A184" s="460" t="s">
        <v>2938</v>
      </c>
      <c r="B184" s="249" t="s">
        <v>2938</v>
      </c>
      <c r="C184" s="12">
        <f>'Language 3'!C184</f>
        <v>0</v>
      </c>
      <c r="D184" s="473" t="s">
        <v>2938</v>
      </c>
      <c r="E184" s="460" t="s">
        <v>2939</v>
      </c>
      <c r="F184" s="473" t="s">
        <v>2938</v>
      </c>
      <c r="G184" s="473" t="s">
        <v>2938</v>
      </c>
      <c r="H184" s="249" t="s">
        <v>3378</v>
      </c>
      <c r="I184" s="453" t="s">
        <v>3107</v>
      </c>
      <c r="J184" s="473" t="s">
        <v>2938</v>
      </c>
      <c r="K184" s="482" t="s">
        <v>3359</v>
      </c>
      <c r="L184" s="473" t="s">
        <v>2938</v>
      </c>
      <c r="M184" s="473" t="s">
        <v>2938</v>
      </c>
      <c r="N184" s="473" t="s">
        <v>2938</v>
      </c>
      <c r="O184" s="473" t="s">
        <v>2938</v>
      </c>
      <c r="P184" s="473" t="s">
        <v>2938</v>
      </c>
      <c r="Q184" s="473" t="s">
        <v>2938</v>
      </c>
      <c r="R184" s="473" t="s">
        <v>2938</v>
      </c>
      <c r="S184" s="473" t="s">
        <v>2938</v>
      </c>
      <c r="T184" s="473" t="s">
        <v>2938</v>
      </c>
      <c r="U184" s="832" t="s">
        <v>3544</v>
      </c>
      <c r="V184" s="473" t="s">
        <v>2938</v>
      </c>
      <c r="W184" s="473" t="s">
        <v>2938</v>
      </c>
      <c r="X184" s="249" t="s">
        <v>3316</v>
      </c>
    </row>
    <row r="185" spans="1:24">
      <c r="A185" s="460" t="s">
        <v>2940</v>
      </c>
      <c r="B185" s="10" t="s">
        <v>2940</v>
      </c>
      <c r="C185" s="12">
        <f>'Language 3'!C185</f>
        <v>0</v>
      </c>
      <c r="D185" s="472" t="s">
        <v>2940</v>
      </c>
      <c r="E185" s="460" t="s">
        <v>2941</v>
      </c>
      <c r="F185" s="472" t="s">
        <v>2940</v>
      </c>
      <c r="G185" s="472" t="s">
        <v>2940</v>
      </c>
      <c r="H185" s="249" t="s">
        <v>3395</v>
      </c>
      <c r="I185" s="453" t="s">
        <v>3108</v>
      </c>
      <c r="J185" s="472" t="s">
        <v>2940</v>
      </c>
      <c r="K185" s="482" t="s">
        <v>3360</v>
      </c>
      <c r="L185" s="472" t="s">
        <v>2940</v>
      </c>
      <c r="M185" s="472" t="s">
        <v>2940</v>
      </c>
      <c r="N185" s="472" t="s">
        <v>2940</v>
      </c>
      <c r="O185" s="472" t="s">
        <v>2940</v>
      </c>
      <c r="P185" s="472" t="s">
        <v>2940</v>
      </c>
      <c r="Q185" s="472" t="s">
        <v>2940</v>
      </c>
      <c r="R185" s="472" t="s">
        <v>2940</v>
      </c>
      <c r="S185" s="472" t="s">
        <v>2940</v>
      </c>
      <c r="T185" s="472" t="s">
        <v>2940</v>
      </c>
      <c r="U185" s="832" t="s">
        <v>3545</v>
      </c>
      <c r="V185" s="472" t="s">
        <v>2940</v>
      </c>
      <c r="W185" s="472" t="s">
        <v>2940</v>
      </c>
      <c r="X185" s="10" t="s">
        <v>3317</v>
      </c>
    </row>
    <row r="186" spans="1:24" ht="37.5">
      <c r="A186" s="460" t="s">
        <v>2942</v>
      </c>
      <c r="B186" s="10" t="s">
        <v>2942</v>
      </c>
      <c r="C186" s="12">
        <f>'Language 3'!C186</f>
        <v>0</v>
      </c>
      <c r="D186" s="472" t="s">
        <v>2942</v>
      </c>
      <c r="E186" s="460" t="s">
        <v>2943</v>
      </c>
      <c r="F186" s="472" t="s">
        <v>2942</v>
      </c>
      <c r="G186" s="472" t="s">
        <v>2942</v>
      </c>
      <c r="H186" s="249" t="s">
        <v>3379</v>
      </c>
      <c r="I186" s="453" t="s">
        <v>3109</v>
      </c>
      <c r="J186" s="472" t="s">
        <v>2942</v>
      </c>
      <c r="K186" s="482" t="s">
        <v>3361</v>
      </c>
      <c r="L186" s="472" t="s">
        <v>2942</v>
      </c>
      <c r="M186" s="472" t="s">
        <v>2942</v>
      </c>
      <c r="N186" s="472" t="s">
        <v>2942</v>
      </c>
      <c r="O186" s="472" t="s">
        <v>2942</v>
      </c>
      <c r="P186" s="472" t="s">
        <v>2942</v>
      </c>
      <c r="Q186" s="472" t="s">
        <v>2942</v>
      </c>
      <c r="R186" s="472" t="s">
        <v>2942</v>
      </c>
      <c r="S186" s="472" t="s">
        <v>2942</v>
      </c>
      <c r="T186" s="472" t="s">
        <v>2942</v>
      </c>
      <c r="U186" s="832" t="s">
        <v>3546</v>
      </c>
      <c r="V186" s="472" t="s">
        <v>2942</v>
      </c>
      <c r="W186" s="472" t="s">
        <v>2942</v>
      </c>
      <c r="X186" s="10" t="s">
        <v>3318</v>
      </c>
    </row>
    <row r="187" spans="1:24" ht="102" customHeight="1">
      <c r="A187" s="460" t="s">
        <v>2956</v>
      </c>
      <c r="B187" s="249" t="s">
        <v>2956</v>
      </c>
      <c r="C187" s="12">
        <f>'Language 3'!C187</f>
        <v>0</v>
      </c>
      <c r="D187" s="473" t="s">
        <v>2956</v>
      </c>
      <c r="E187" s="12" t="s">
        <v>3000</v>
      </c>
      <c r="F187" s="473" t="s">
        <v>2956</v>
      </c>
      <c r="G187" s="473" t="s">
        <v>2956</v>
      </c>
      <c r="H187" s="249" t="s">
        <v>3380</v>
      </c>
      <c r="I187" s="453" t="s">
        <v>3110</v>
      </c>
      <c r="J187" s="473" t="s">
        <v>2956</v>
      </c>
      <c r="K187" s="482" t="s">
        <v>2956</v>
      </c>
      <c r="L187" s="473" t="s">
        <v>2956</v>
      </c>
      <c r="M187" s="473" t="s">
        <v>2956</v>
      </c>
      <c r="N187" s="473" t="s">
        <v>2956</v>
      </c>
      <c r="O187" s="473" t="s">
        <v>2956</v>
      </c>
      <c r="P187" s="473" t="s">
        <v>2956</v>
      </c>
      <c r="Q187" s="473" t="s">
        <v>2956</v>
      </c>
      <c r="R187" s="473" t="s">
        <v>2956</v>
      </c>
      <c r="S187" s="473" t="s">
        <v>2956</v>
      </c>
      <c r="T187" s="473" t="s">
        <v>2956</v>
      </c>
      <c r="U187" s="832" t="s">
        <v>3547</v>
      </c>
      <c r="V187" s="473" t="s">
        <v>2956</v>
      </c>
      <c r="W187" s="473" t="s">
        <v>2956</v>
      </c>
      <c r="X187" s="249" t="s">
        <v>3319</v>
      </c>
    </row>
    <row r="188" spans="1:24" ht="156" customHeight="1">
      <c r="A188" s="460" t="s">
        <v>2994</v>
      </c>
      <c r="B188" s="10" t="s">
        <v>2994</v>
      </c>
      <c r="C188" s="12"/>
      <c r="D188" s="472" t="s">
        <v>2994</v>
      </c>
      <c r="E188" s="12" t="s">
        <v>3001</v>
      </c>
      <c r="F188" s="472" t="s">
        <v>2994</v>
      </c>
      <c r="G188" s="472" t="s">
        <v>2994</v>
      </c>
      <c r="H188" s="249" t="s">
        <v>3381</v>
      </c>
      <c r="I188" s="453" t="s">
        <v>3111</v>
      </c>
      <c r="J188" s="472" t="s">
        <v>2994</v>
      </c>
      <c r="K188" s="482" t="s">
        <v>2994</v>
      </c>
      <c r="L188" s="472" t="s">
        <v>2994</v>
      </c>
      <c r="M188" s="472" t="s">
        <v>2994</v>
      </c>
      <c r="N188" s="472" t="s">
        <v>2994</v>
      </c>
      <c r="O188" s="472" t="s">
        <v>2994</v>
      </c>
      <c r="P188" s="472" t="s">
        <v>2994</v>
      </c>
      <c r="Q188" s="472" t="s">
        <v>2994</v>
      </c>
      <c r="R188" s="472" t="s">
        <v>2994</v>
      </c>
      <c r="S188" s="472" t="s">
        <v>2994</v>
      </c>
      <c r="T188" s="472" t="s">
        <v>2994</v>
      </c>
      <c r="U188" s="832" t="s">
        <v>3548</v>
      </c>
      <c r="V188" s="472" t="s">
        <v>2994</v>
      </c>
      <c r="W188" s="472" t="s">
        <v>2994</v>
      </c>
      <c r="X188" s="10" t="s">
        <v>3320</v>
      </c>
    </row>
    <row r="189" spans="1:24" ht="160.5" customHeight="1">
      <c r="A189" s="460" t="s">
        <v>2995</v>
      </c>
      <c r="B189" s="10" t="s">
        <v>2995</v>
      </c>
      <c r="C189" s="12"/>
      <c r="D189" s="472" t="s">
        <v>2995</v>
      </c>
      <c r="E189" s="12" t="s">
        <v>3002</v>
      </c>
      <c r="F189" s="472" t="s">
        <v>2995</v>
      </c>
      <c r="G189" s="472" t="s">
        <v>2995</v>
      </c>
      <c r="H189" s="249" t="s">
        <v>3382</v>
      </c>
      <c r="I189" s="453" t="s">
        <v>3112</v>
      </c>
      <c r="J189" s="472" t="s">
        <v>2995</v>
      </c>
      <c r="K189" s="482" t="s">
        <v>3362</v>
      </c>
      <c r="L189" s="472" t="s">
        <v>2995</v>
      </c>
      <c r="M189" s="472" t="s">
        <v>2995</v>
      </c>
      <c r="N189" s="472" t="s">
        <v>2995</v>
      </c>
      <c r="O189" s="472" t="s">
        <v>2995</v>
      </c>
      <c r="P189" s="472" t="s">
        <v>2995</v>
      </c>
      <c r="Q189" s="472" t="s">
        <v>2995</v>
      </c>
      <c r="R189" s="472" t="s">
        <v>2995</v>
      </c>
      <c r="S189" s="472" t="s">
        <v>2995</v>
      </c>
      <c r="T189" s="472" t="s">
        <v>2995</v>
      </c>
      <c r="U189" s="833" t="s">
        <v>3549</v>
      </c>
      <c r="V189" s="472" t="s">
        <v>2995</v>
      </c>
      <c r="W189" s="472" t="s">
        <v>2995</v>
      </c>
      <c r="X189" s="10" t="s">
        <v>3321</v>
      </c>
    </row>
    <row r="190" spans="1:24" ht="333" customHeight="1">
      <c r="A190" s="460" t="s">
        <v>2996</v>
      </c>
      <c r="B190" s="249" t="s">
        <v>2996</v>
      </c>
      <c r="C190" s="12">
        <f>'Language 3'!C190</f>
        <v>0</v>
      </c>
      <c r="D190" s="473" t="s">
        <v>2996</v>
      </c>
      <c r="E190" s="12" t="s">
        <v>3003</v>
      </c>
      <c r="F190" s="473" t="s">
        <v>2996</v>
      </c>
      <c r="G190" s="473" t="s">
        <v>2996</v>
      </c>
      <c r="H190" s="249" t="s">
        <v>3383</v>
      </c>
      <c r="I190" s="453" t="s">
        <v>3113</v>
      </c>
      <c r="J190" s="473" t="s">
        <v>2996</v>
      </c>
      <c r="K190" s="482" t="s">
        <v>3363</v>
      </c>
      <c r="L190" s="473" t="s">
        <v>2996</v>
      </c>
      <c r="M190" s="473" t="s">
        <v>2996</v>
      </c>
      <c r="N190" s="473" t="s">
        <v>2996</v>
      </c>
      <c r="O190" s="473" t="s">
        <v>2996</v>
      </c>
      <c r="P190" s="473" t="s">
        <v>2996</v>
      </c>
      <c r="Q190" s="473" t="s">
        <v>2996</v>
      </c>
      <c r="R190" s="473" t="s">
        <v>2996</v>
      </c>
      <c r="S190" s="473" t="s">
        <v>2996</v>
      </c>
      <c r="T190" s="473" t="s">
        <v>2996</v>
      </c>
      <c r="U190" s="833" t="s">
        <v>3550</v>
      </c>
      <c r="V190" s="473" t="s">
        <v>2996</v>
      </c>
      <c r="W190" s="473" t="s">
        <v>2996</v>
      </c>
      <c r="X190" s="249" t="s">
        <v>3322</v>
      </c>
    </row>
    <row r="191" spans="1:24" ht="148.5" customHeight="1">
      <c r="A191" s="460" t="s">
        <v>2997</v>
      </c>
      <c r="B191" s="249" t="s">
        <v>2997</v>
      </c>
      <c r="C191" s="12">
        <f>'Language 3'!C191</f>
        <v>0</v>
      </c>
      <c r="D191" s="473" t="s">
        <v>2997</v>
      </c>
      <c r="E191" s="12" t="s">
        <v>3004</v>
      </c>
      <c r="F191" s="473" t="s">
        <v>2997</v>
      </c>
      <c r="G191" s="473" t="s">
        <v>2997</v>
      </c>
      <c r="H191" s="249" t="s">
        <v>3384</v>
      </c>
      <c r="I191" s="453" t="s">
        <v>3114</v>
      </c>
      <c r="J191" s="473" t="s">
        <v>2997</v>
      </c>
      <c r="K191" s="482" t="s">
        <v>3364</v>
      </c>
      <c r="L191" s="473" t="s">
        <v>2997</v>
      </c>
      <c r="M191" s="473" t="s">
        <v>2997</v>
      </c>
      <c r="N191" s="473" t="s">
        <v>2997</v>
      </c>
      <c r="O191" s="473" t="s">
        <v>2997</v>
      </c>
      <c r="P191" s="473" t="s">
        <v>2997</v>
      </c>
      <c r="Q191" s="473" t="s">
        <v>2997</v>
      </c>
      <c r="R191" s="473" t="s">
        <v>2997</v>
      </c>
      <c r="S191" s="473" t="s">
        <v>2997</v>
      </c>
      <c r="T191" s="473" t="s">
        <v>2997</v>
      </c>
      <c r="U191" s="832" t="s">
        <v>3500</v>
      </c>
      <c r="V191" s="473" t="s">
        <v>2997</v>
      </c>
      <c r="W191" s="473" t="s">
        <v>2997</v>
      </c>
      <c r="X191" s="249" t="s">
        <v>3323</v>
      </c>
    </row>
    <row r="192" spans="1:24" ht="90.75" customHeight="1">
      <c r="A192" s="460" t="s">
        <v>2998</v>
      </c>
      <c r="B192" s="249" t="s">
        <v>2998</v>
      </c>
      <c r="C192" s="12">
        <f>'Language 3'!C192</f>
        <v>0</v>
      </c>
      <c r="D192" s="473" t="s">
        <v>2998</v>
      </c>
      <c r="E192" s="12" t="s">
        <v>3005</v>
      </c>
      <c r="F192" s="473" t="s">
        <v>2998</v>
      </c>
      <c r="G192" s="473" t="s">
        <v>2998</v>
      </c>
      <c r="H192" s="249" t="s">
        <v>3385</v>
      </c>
      <c r="I192" s="453" t="s">
        <v>3115</v>
      </c>
      <c r="J192" s="473" t="s">
        <v>2998</v>
      </c>
      <c r="K192" s="482" t="s">
        <v>3365</v>
      </c>
      <c r="L192" s="473" t="s">
        <v>2998</v>
      </c>
      <c r="M192" s="473" t="s">
        <v>2998</v>
      </c>
      <c r="N192" s="473" t="s">
        <v>2998</v>
      </c>
      <c r="O192" s="473" t="s">
        <v>2998</v>
      </c>
      <c r="P192" s="473" t="s">
        <v>2998</v>
      </c>
      <c r="Q192" s="473" t="s">
        <v>2998</v>
      </c>
      <c r="R192" s="473" t="s">
        <v>2998</v>
      </c>
      <c r="S192" s="473" t="s">
        <v>2998</v>
      </c>
      <c r="T192" s="473" t="s">
        <v>2998</v>
      </c>
      <c r="U192" s="832" t="s">
        <v>3551</v>
      </c>
      <c r="V192" s="473" t="s">
        <v>2998</v>
      </c>
      <c r="W192" s="473" t="s">
        <v>2998</v>
      </c>
      <c r="X192" s="249" t="s">
        <v>3324</v>
      </c>
    </row>
    <row r="193" spans="1:56" ht="33" customHeight="1">
      <c r="A193" s="460" t="s">
        <v>2945</v>
      </c>
      <c r="B193" s="10" t="s">
        <v>2945</v>
      </c>
      <c r="C193" s="12">
        <f>'Language 3'!C193</f>
        <v>0</v>
      </c>
      <c r="D193" s="472" t="s">
        <v>2945</v>
      </c>
      <c r="E193" s="12" t="s">
        <v>3006</v>
      </c>
      <c r="F193" s="472" t="s">
        <v>2945</v>
      </c>
      <c r="G193" s="472" t="s">
        <v>2945</v>
      </c>
      <c r="H193" s="249" t="s">
        <v>3386</v>
      </c>
      <c r="I193" s="453" t="s">
        <v>3116</v>
      </c>
      <c r="J193" s="472" t="s">
        <v>2945</v>
      </c>
      <c r="K193" s="482" t="s">
        <v>3366</v>
      </c>
      <c r="L193" s="472" t="s">
        <v>2945</v>
      </c>
      <c r="M193" s="472" t="s">
        <v>2945</v>
      </c>
      <c r="N193" s="472" t="s">
        <v>2945</v>
      </c>
      <c r="O193" s="472" t="s">
        <v>2945</v>
      </c>
      <c r="P193" s="472" t="s">
        <v>2945</v>
      </c>
      <c r="Q193" s="472" t="s">
        <v>2945</v>
      </c>
      <c r="R193" s="472" t="s">
        <v>2945</v>
      </c>
      <c r="S193" s="472" t="s">
        <v>2945</v>
      </c>
      <c r="T193" s="472" t="s">
        <v>2945</v>
      </c>
      <c r="U193" s="832" t="s">
        <v>3552</v>
      </c>
      <c r="V193" s="472" t="s">
        <v>2945</v>
      </c>
      <c r="W193" s="472" t="s">
        <v>2945</v>
      </c>
      <c r="X193" s="10" t="s">
        <v>3325</v>
      </c>
    </row>
    <row r="194" spans="1:56">
      <c r="A194" s="460" t="s">
        <v>2933</v>
      </c>
      <c r="B194" s="10" t="s">
        <v>2933</v>
      </c>
      <c r="C194" s="12">
        <f>'Language 3'!C194</f>
        <v>0</v>
      </c>
      <c r="D194" s="472" t="s">
        <v>2933</v>
      </c>
      <c r="E194" s="460" t="s">
        <v>3038</v>
      </c>
      <c r="F194" s="472" t="s">
        <v>2933</v>
      </c>
      <c r="G194" s="472" t="s">
        <v>2933</v>
      </c>
      <c r="H194" s="249" t="s">
        <v>3387</v>
      </c>
      <c r="I194" s="453" t="s">
        <v>3117</v>
      </c>
      <c r="J194" s="472" t="s">
        <v>2933</v>
      </c>
      <c r="K194" s="482" t="s">
        <v>3367</v>
      </c>
      <c r="L194" s="472" t="s">
        <v>2933</v>
      </c>
      <c r="M194" s="472" t="s">
        <v>2933</v>
      </c>
      <c r="N194" s="472" t="s">
        <v>2933</v>
      </c>
      <c r="O194" s="472" t="s">
        <v>2933</v>
      </c>
      <c r="P194" s="472" t="s">
        <v>2933</v>
      </c>
      <c r="Q194" s="472" t="s">
        <v>2933</v>
      </c>
      <c r="R194" s="472" t="s">
        <v>2933</v>
      </c>
      <c r="S194" s="472" t="s">
        <v>2933</v>
      </c>
      <c r="T194" s="472" t="s">
        <v>2933</v>
      </c>
      <c r="U194" s="832" t="s">
        <v>3553</v>
      </c>
      <c r="V194" s="472" t="s">
        <v>2933</v>
      </c>
      <c r="W194" s="472" t="s">
        <v>2933</v>
      </c>
      <c r="X194" s="10" t="s">
        <v>3326</v>
      </c>
    </row>
    <row r="195" spans="1:56" ht="83.25" customHeight="1">
      <c r="A195" s="460" t="s">
        <v>2934</v>
      </c>
      <c r="B195" s="10" t="s">
        <v>2934</v>
      </c>
      <c r="C195" s="12">
        <f>'Language 3'!C195</f>
        <v>0</v>
      </c>
      <c r="D195" s="472" t="s">
        <v>2934</v>
      </c>
      <c r="E195" s="460" t="s">
        <v>3039</v>
      </c>
      <c r="F195" s="472" t="s">
        <v>2934</v>
      </c>
      <c r="G195" s="472" t="s">
        <v>2934</v>
      </c>
      <c r="H195" s="249" t="s">
        <v>3388</v>
      </c>
      <c r="I195" s="453" t="s">
        <v>3118</v>
      </c>
      <c r="J195" s="472" t="s">
        <v>2934</v>
      </c>
      <c r="K195" s="482" t="s">
        <v>3368</v>
      </c>
      <c r="L195" s="472" t="s">
        <v>2934</v>
      </c>
      <c r="M195" s="472" t="s">
        <v>2934</v>
      </c>
      <c r="N195" s="472" t="s">
        <v>2934</v>
      </c>
      <c r="O195" s="472" t="s">
        <v>2934</v>
      </c>
      <c r="P195" s="472" t="s">
        <v>2934</v>
      </c>
      <c r="Q195" s="472" t="s">
        <v>2934</v>
      </c>
      <c r="R195" s="472" t="s">
        <v>2934</v>
      </c>
      <c r="S195" s="472" t="s">
        <v>2934</v>
      </c>
      <c r="T195" s="472" t="s">
        <v>2934</v>
      </c>
      <c r="U195" s="832" t="s">
        <v>3554</v>
      </c>
      <c r="V195" s="472" t="s">
        <v>2934</v>
      </c>
      <c r="W195" s="472" t="s">
        <v>2934</v>
      </c>
      <c r="X195" s="10" t="s">
        <v>3327</v>
      </c>
    </row>
    <row r="196" spans="1:56" ht="79.5" customHeight="1">
      <c r="A196" s="460" t="s">
        <v>2932</v>
      </c>
      <c r="B196" s="476" t="s">
        <v>2932</v>
      </c>
      <c r="C196" s="12">
        <f>'Language 3'!C196</f>
        <v>0</v>
      </c>
      <c r="D196" s="473" t="s">
        <v>2932</v>
      </c>
      <c r="E196" s="460" t="s">
        <v>3044</v>
      </c>
      <c r="F196" s="473" t="s">
        <v>2932</v>
      </c>
      <c r="G196" s="473" t="s">
        <v>2932</v>
      </c>
      <c r="H196" s="249" t="s">
        <v>3389</v>
      </c>
      <c r="I196" s="453" t="s">
        <v>3119</v>
      </c>
      <c r="J196" s="473" t="s">
        <v>2932</v>
      </c>
      <c r="K196" s="482" t="s">
        <v>3369</v>
      </c>
      <c r="L196" s="473" t="s">
        <v>2932</v>
      </c>
      <c r="M196" s="473" t="s">
        <v>2932</v>
      </c>
      <c r="N196" s="473" t="s">
        <v>2932</v>
      </c>
      <c r="O196" s="473" t="s">
        <v>2932</v>
      </c>
      <c r="P196" s="473" t="s">
        <v>2932</v>
      </c>
      <c r="Q196" s="473" t="s">
        <v>2932</v>
      </c>
      <c r="R196" s="473" t="s">
        <v>2932</v>
      </c>
      <c r="S196" s="473" t="s">
        <v>2932</v>
      </c>
      <c r="T196" s="473" t="s">
        <v>2932</v>
      </c>
      <c r="U196" s="832" t="s">
        <v>3555</v>
      </c>
      <c r="V196" s="473" t="s">
        <v>2932</v>
      </c>
      <c r="W196" s="473" t="s">
        <v>2932</v>
      </c>
      <c r="X196" s="249" t="s">
        <v>3328</v>
      </c>
    </row>
    <row r="197" spans="1:56" ht="37.5">
      <c r="A197" s="460" t="s">
        <v>3041</v>
      </c>
      <c r="B197" s="476" t="s">
        <v>3042</v>
      </c>
      <c r="C197" s="12">
        <f>'Language 3'!C197</f>
        <v>0</v>
      </c>
      <c r="D197" s="473" t="s">
        <v>3042</v>
      </c>
      <c r="E197" s="460" t="s">
        <v>3045</v>
      </c>
      <c r="F197" s="473" t="s">
        <v>3042</v>
      </c>
      <c r="G197" s="473" t="s">
        <v>3042</v>
      </c>
      <c r="H197" s="249" t="s">
        <v>3390</v>
      </c>
      <c r="I197" s="453" t="s">
        <v>3120</v>
      </c>
      <c r="J197" s="473" t="s">
        <v>3042</v>
      </c>
      <c r="K197" s="482" t="s">
        <v>3370</v>
      </c>
      <c r="L197" s="473" t="s">
        <v>3042</v>
      </c>
      <c r="M197" s="473" t="s">
        <v>3042</v>
      </c>
      <c r="N197" s="473" t="s">
        <v>3042</v>
      </c>
      <c r="O197" s="473" t="s">
        <v>3042</v>
      </c>
      <c r="P197" s="473" t="s">
        <v>3042</v>
      </c>
      <c r="Q197" s="473" t="s">
        <v>3042</v>
      </c>
      <c r="R197" s="473" t="s">
        <v>3042</v>
      </c>
      <c r="S197" s="473" t="s">
        <v>3042</v>
      </c>
      <c r="T197" s="473" t="s">
        <v>3042</v>
      </c>
      <c r="U197" s="832" t="s">
        <v>3556</v>
      </c>
      <c r="V197" s="473" t="s">
        <v>3042</v>
      </c>
      <c r="W197" s="473" t="s">
        <v>3042</v>
      </c>
      <c r="X197" s="249" t="s">
        <v>3329</v>
      </c>
    </row>
    <row r="198" spans="1:56">
      <c r="A198" s="460" t="s">
        <v>2931</v>
      </c>
      <c r="B198" s="249" t="s">
        <v>2931</v>
      </c>
      <c r="C198" s="12">
        <f>'Language 3'!C198</f>
        <v>0</v>
      </c>
      <c r="D198" s="473" t="s">
        <v>2931</v>
      </c>
      <c r="E198" s="460" t="s">
        <v>3043</v>
      </c>
      <c r="F198" s="473" t="s">
        <v>2931</v>
      </c>
      <c r="G198" s="473" t="s">
        <v>2931</v>
      </c>
      <c r="H198" s="249" t="s">
        <v>3394</v>
      </c>
      <c r="I198" s="453" t="s">
        <v>3121</v>
      </c>
      <c r="J198" s="473" t="s">
        <v>2931</v>
      </c>
      <c r="K198" s="482" t="s">
        <v>3371</v>
      </c>
      <c r="L198" s="473" t="s">
        <v>2931</v>
      </c>
      <c r="M198" s="473" t="s">
        <v>2931</v>
      </c>
      <c r="N198" s="473" t="s">
        <v>2931</v>
      </c>
      <c r="O198" s="473" t="s">
        <v>2931</v>
      </c>
      <c r="P198" s="473" t="s">
        <v>2931</v>
      </c>
      <c r="Q198" s="473" t="s">
        <v>2931</v>
      </c>
      <c r="R198" s="473" t="s">
        <v>2931</v>
      </c>
      <c r="S198" s="473" t="s">
        <v>2931</v>
      </c>
      <c r="T198" s="473" t="s">
        <v>2931</v>
      </c>
      <c r="U198" s="832" t="s">
        <v>3557</v>
      </c>
      <c r="V198" s="473" t="s">
        <v>2931</v>
      </c>
      <c r="W198" s="473" t="s">
        <v>2931</v>
      </c>
      <c r="X198" s="249" t="s">
        <v>3330</v>
      </c>
    </row>
    <row r="199" spans="1:56">
      <c r="A199" s="460" t="s">
        <v>3123</v>
      </c>
      <c r="B199" s="10" t="s">
        <v>3123</v>
      </c>
      <c r="C199" s="12">
        <f>'Language 3'!C199</f>
        <v>0</v>
      </c>
      <c r="D199" s="472" t="s">
        <v>3123</v>
      </c>
      <c r="E199" s="460" t="s">
        <v>3124</v>
      </c>
      <c r="F199" s="472" t="s">
        <v>3123</v>
      </c>
      <c r="G199" s="473" t="s">
        <v>3123</v>
      </c>
      <c r="H199" s="249" t="s">
        <v>3391</v>
      </c>
      <c r="I199" s="460" t="s">
        <v>3125</v>
      </c>
      <c r="J199" s="472" t="s">
        <v>3123</v>
      </c>
      <c r="K199" s="482" t="s">
        <v>3372</v>
      </c>
      <c r="L199" s="472" t="s">
        <v>3123</v>
      </c>
      <c r="M199" s="473" t="s">
        <v>3123</v>
      </c>
      <c r="N199" s="472" t="s">
        <v>3123</v>
      </c>
      <c r="O199" s="473" t="s">
        <v>3123</v>
      </c>
      <c r="P199" s="472" t="s">
        <v>3123</v>
      </c>
      <c r="Q199" s="473" t="s">
        <v>3123</v>
      </c>
      <c r="R199" s="472" t="s">
        <v>3123</v>
      </c>
      <c r="S199" s="473" t="s">
        <v>3123</v>
      </c>
      <c r="T199" s="472" t="s">
        <v>3123</v>
      </c>
      <c r="U199" s="832" t="s">
        <v>3558</v>
      </c>
      <c r="V199" s="472" t="s">
        <v>3123</v>
      </c>
      <c r="W199" s="473" t="s">
        <v>3123</v>
      </c>
      <c r="X199" s="10" t="s">
        <v>3331</v>
      </c>
    </row>
    <row r="200" spans="1:56" ht="48" customHeight="1">
      <c r="A200" s="460" t="s">
        <v>3126</v>
      </c>
      <c r="B200" s="249" t="s">
        <v>3126</v>
      </c>
      <c r="C200" s="12">
        <f>'Language 3'!C200</f>
        <v>0</v>
      </c>
      <c r="D200" s="473" t="s">
        <v>3126</v>
      </c>
      <c r="E200" s="460" t="s">
        <v>3128</v>
      </c>
      <c r="F200" s="473" t="s">
        <v>3126</v>
      </c>
      <c r="G200" s="473" t="s">
        <v>3126</v>
      </c>
      <c r="H200" s="249" t="s">
        <v>3392</v>
      </c>
      <c r="I200" s="460" t="s">
        <v>3127</v>
      </c>
      <c r="J200" s="473" t="s">
        <v>3126</v>
      </c>
      <c r="K200" s="482" t="s">
        <v>3373</v>
      </c>
      <c r="L200" s="473" t="s">
        <v>3126</v>
      </c>
      <c r="M200" s="473" t="s">
        <v>3126</v>
      </c>
      <c r="N200" s="473" t="s">
        <v>3126</v>
      </c>
      <c r="O200" s="473" t="s">
        <v>3126</v>
      </c>
      <c r="P200" s="473" t="s">
        <v>3126</v>
      </c>
      <c r="Q200" s="473" t="s">
        <v>3126</v>
      </c>
      <c r="R200" s="473" t="s">
        <v>3126</v>
      </c>
      <c r="S200" s="473" t="s">
        <v>3126</v>
      </c>
      <c r="T200" s="473" t="s">
        <v>3126</v>
      </c>
      <c r="U200" s="832" t="s">
        <v>3559</v>
      </c>
      <c r="V200" s="473" t="s">
        <v>3126</v>
      </c>
      <c r="W200" s="473" t="s">
        <v>3126</v>
      </c>
      <c r="X200" s="249" t="s">
        <v>3332</v>
      </c>
    </row>
    <row r="201" spans="1:56">
      <c r="A201" s="460" t="s">
        <v>3129</v>
      </c>
      <c r="B201" s="249" t="s">
        <v>3129</v>
      </c>
      <c r="C201" s="12">
        <f>'Language 3'!C201</f>
        <v>0</v>
      </c>
      <c r="D201" s="473" t="s">
        <v>3129</v>
      </c>
      <c r="E201" s="460" t="s">
        <v>3131</v>
      </c>
      <c r="F201" s="473" t="s">
        <v>3129</v>
      </c>
      <c r="G201" s="473" t="s">
        <v>3129</v>
      </c>
      <c r="H201" s="249" t="s">
        <v>3393</v>
      </c>
      <c r="I201" s="460" t="s">
        <v>3130</v>
      </c>
      <c r="J201" s="473" t="s">
        <v>3129</v>
      </c>
      <c r="K201" s="482" t="s">
        <v>3374</v>
      </c>
      <c r="L201" s="473" t="s">
        <v>3129</v>
      </c>
      <c r="M201" s="473" t="s">
        <v>3129</v>
      </c>
      <c r="N201" s="473" t="s">
        <v>3129</v>
      </c>
      <c r="O201" s="473" t="s">
        <v>3129</v>
      </c>
      <c r="P201" s="473" t="s">
        <v>3129</v>
      </c>
      <c r="Q201" s="473" t="s">
        <v>3129</v>
      </c>
      <c r="R201" s="473" t="s">
        <v>3129</v>
      </c>
      <c r="S201" s="473" t="s">
        <v>3129</v>
      </c>
      <c r="T201" s="473" t="s">
        <v>3129</v>
      </c>
      <c r="U201" s="832" t="s">
        <v>3560</v>
      </c>
      <c r="V201" s="473" t="s">
        <v>3129</v>
      </c>
      <c r="W201" s="473" t="s">
        <v>3129</v>
      </c>
      <c r="X201" s="249" t="s">
        <v>3333</v>
      </c>
    </row>
    <row r="202" spans="1:56" s="462" customFormat="1" ht="37.5">
      <c r="A202" s="460" t="s">
        <v>3148</v>
      </c>
      <c r="B202" s="249" t="s">
        <v>3148</v>
      </c>
      <c r="C202" s="12">
        <f>'Language 3'!C202</f>
        <v>0</v>
      </c>
      <c r="D202" s="10" t="s">
        <v>863</v>
      </c>
      <c r="E202" s="460" t="s">
        <v>3150</v>
      </c>
      <c r="F202" s="249" t="s">
        <v>3135</v>
      </c>
      <c r="G202" s="12" t="s">
        <v>887</v>
      </c>
      <c r="H202" s="249" t="s">
        <v>1715</v>
      </c>
      <c r="I202" s="453" t="s">
        <v>3149</v>
      </c>
      <c r="J202" s="249" t="s">
        <v>3136</v>
      </c>
      <c r="K202" s="482" t="s">
        <v>3137</v>
      </c>
      <c r="L202" s="249" t="s">
        <v>3138</v>
      </c>
      <c r="M202" s="477" t="s">
        <v>3139</v>
      </c>
      <c r="N202" s="249" t="s">
        <v>3140</v>
      </c>
      <c r="O202" s="460" t="s">
        <v>3141</v>
      </c>
      <c r="P202" s="454" t="s">
        <v>2029</v>
      </c>
      <c r="Q202" s="475" t="s">
        <v>3142</v>
      </c>
      <c r="R202" s="249" t="s">
        <v>3143</v>
      </c>
      <c r="S202" s="460" t="s">
        <v>3144</v>
      </c>
      <c r="T202" s="249" t="s">
        <v>3145</v>
      </c>
      <c r="U202" s="832" t="s">
        <v>3561</v>
      </c>
      <c r="V202" s="249" t="s">
        <v>3146</v>
      </c>
      <c r="W202" s="453" t="s">
        <v>3147</v>
      </c>
      <c r="X202" s="249" t="s">
        <v>3334</v>
      </c>
      <c r="Y202" s="449"/>
      <c r="Z202" s="449"/>
      <c r="AA202" s="449"/>
      <c r="AB202" s="449"/>
      <c r="AC202" s="449"/>
      <c r="AD202" s="449"/>
      <c r="AE202" s="449"/>
      <c r="AF202" s="449"/>
      <c r="AG202" s="449"/>
      <c r="AH202" s="449"/>
      <c r="AI202" s="449"/>
      <c r="AJ202" s="449"/>
      <c r="AK202" s="449"/>
      <c r="AL202" s="449"/>
      <c r="AM202" s="449"/>
      <c r="AN202" s="449"/>
      <c r="AO202" s="449"/>
      <c r="AP202" s="449"/>
      <c r="AQ202" s="449"/>
      <c r="AR202" s="449"/>
      <c r="AS202" s="449"/>
      <c r="AT202" s="449"/>
      <c r="AU202" s="449"/>
      <c r="AV202" s="449"/>
      <c r="AW202" s="449"/>
      <c r="AX202" s="449"/>
      <c r="AY202" s="449"/>
      <c r="AZ202" s="449"/>
      <c r="BA202" s="449"/>
      <c r="BB202" s="449"/>
      <c r="BC202" s="449"/>
      <c r="BD202" s="449"/>
    </row>
    <row r="203" spans="1:56">
      <c r="K203" s="449"/>
    </row>
    <row r="204" spans="1:56">
      <c r="K204" s="449"/>
    </row>
    <row r="205" spans="1:56">
      <c r="K205" s="449"/>
    </row>
  </sheetData>
  <sheetProtection algorithmName="SHA-512" hashValue="t46Zv78Qpo8BTHFDxXpLe0kRggaf5BIpohqI7ic9yBS5fYhaVuh76WWie1cVuiPiL1zKl5HnqH6A53VtqexfxA==" saltValue="cK9kSSKeB9whGmw/SVsc2g==" spinCount="100000" sheet="1" objects="1" scenarios="1"/>
  <phoneticPr fontId="7" type="noConversion"/>
  <hyperlinks>
    <hyperlink ref="L145" r:id="rId1"/>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1"/>
  <dimension ref="A1:G758"/>
  <sheetViews>
    <sheetView topLeftCell="A136" workbookViewId="0">
      <selection activeCell="A202" sqref="A202"/>
    </sheetView>
  </sheetViews>
  <sheetFormatPr baseColWidth="10" defaultColWidth="11.453125" defaultRowHeight="12.5"/>
  <cols>
    <col min="1" max="1" width="49.7265625" style="8" customWidth="1"/>
    <col min="2" max="2" width="3.26953125" style="8" customWidth="1"/>
    <col min="3" max="3" width="49" style="8" customWidth="1"/>
    <col min="4" max="4" width="2.26953125" style="1" customWidth="1"/>
    <col min="5" max="16384" width="11.453125" style="1"/>
  </cols>
  <sheetData>
    <row r="1" spans="1:7" ht="13" thickBot="1"/>
    <row r="2" spans="1:7" ht="15.75" customHeight="1" thickTop="1">
      <c r="A2" s="776" t="s">
        <v>1768</v>
      </c>
      <c r="B2" s="777"/>
      <c r="C2" s="778"/>
      <c r="E2" s="785" t="str">
        <f>'Used Language'!C128</f>
        <v>Home</v>
      </c>
      <c r="F2" s="786"/>
      <c r="G2" s="787"/>
    </row>
    <row r="3" spans="1:7" ht="13.5" customHeight="1" thickBot="1">
      <c r="E3" s="788"/>
      <c r="F3" s="789"/>
      <c r="G3" s="790"/>
    </row>
    <row r="4" spans="1:7" ht="13.5" thickTop="1">
      <c r="A4" s="298" t="s">
        <v>1769</v>
      </c>
      <c r="B4" s="298"/>
      <c r="C4" s="298" t="s">
        <v>1499</v>
      </c>
    </row>
    <row r="5" spans="1:7">
      <c r="A5" s="299" t="str">
        <f>'Language 2'!B5</f>
        <v>Getting Started</v>
      </c>
      <c r="B5" s="300"/>
      <c r="C5" s="363"/>
      <c r="E5" s="779" t="s">
        <v>2710</v>
      </c>
      <c r="F5" s="780"/>
    </row>
    <row r="6" spans="1:7">
      <c r="A6" s="301" t="str">
        <f>'Language 2'!B6</f>
        <v>Water Balance</v>
      </c>
      <c r="B6" s="300"/>
      <c r="C6" s="302"/>
      <c r="E6" s="781"/>
      <c r="F6" s="782"/>
    </row>
    <row r="7" spans="1:7">
      <c r="A7" s="301" t="str">
        <f>'Language 2'!B7</f>
        <v>Performance Indicators</v>
      </c>
      <c r="B7" s="300"/>
      <c r="C7" s="302"/>
      <c r="E7" s="781"/>
      <c r="F7" s="782"/>
    </row>
    <row r="8" spans="1:7">
      <c r="A8" s="301" t="str">
        <f>'Language 2'!B8</f>
        <v>Network Data</v>
      </c>
      <c r="B8" s="300"/>
      <c r="C8" s="302"/>
      <c r="E8" s="781"/>
      <c r="F8" s="782"/>
    </row>
    <row r="9" spans="1:7">
      <c r="A9" s="301" t="str">
        <f>'Language 2'!B9</f>
        <v>Pressure</v>
      </c>
      <c r="B9" s="300"/>
      <c r="C9" s="302"/>
      <c r="E9" s="781"/>
      <c r="F9" s="782"/>
    </row>
    <row r="10" spans="1:7">
      <c r="A10" s="301" t="str">
        <f>'Language 2'!B10</f>
        <v>System Input Volume</v>
      </c>
      <c r="B10" s="300"/>
      <c r="C10" s="302"/>
      <c r="E10" s="781"/>
      <c r="F10" s="782"/>
    </row>
    <row r="11" spans="1:7">
      <c r="A11" s="301" t="str">
        <f>'Language 2'!B11</f>
        <v>Billed Consumption</v>
      </c>
      <c r="B11" s="300"/>
      <c r="C11" s="302"/>
      <c r="E11" s="781"/>
      <c r="F11" s="782"/>
    </row>
    <row r="12" spans="1:7">
      <c r="A12" s="301" t="str">
        <f>'Language 2'!B12</f>
        <v>Unbilled Consumption</v>
      </c>
      <c r="B12" s="300"/>
      <c r="C12" s="302"/>
      <c r="E12" s="781"/>
      <c r="F12" s="782"/>
    </row>
    <row r="13" spans="1:7">
      <c r="A13" s="301" t="str">
        <f>'Language 2'!B13</f>
        <v>Unauthorized Consumption</v>
      </c>
      <c r="B13" s="300"/>
      <c r="C13" s="302"/>
      <c r="E13" s="783"/>
      <c r="F13" s="784"/>
    </row>
    <row r="14" spans="1:7">
      <c r="A14" s="301" t="str">
        <f>'Language 2'!B14</f>
        <v>Customer Meter Inaccuracies and Data Handling Errors</v>
      </c>
      <c r="B14" s="300"/>
      <c r="C14" s="302"/>
    </row>
    <row r="15" spans="1:7">
      <c r="A15" s="301" t="str">
        <f>'Language 2'!B15</f>
        <v>Change Language</v>
      </c>
      <c r="B15" s="300"/>
      <c r="C15" s="301" t="s">
        <v>1497</v>
      </c>
    </row>
    <row r="16" spans="1:7">
      <c r="A16" s="301" t="str">
        <f>'Language 2'!B16</f>
        <v>System Input Volume</v>
      </c>
      <c r="B16" s="300"/>
      <c r="C16" s="302"/>
    </row>
    <row r="17" spans="1:3">
      <c r="A17" s="301" t="str">
        <f>'Language 2'!B17</f>
        <v>Authorized Consumption</v>
      </c>
      <c r="B17" s="300"/>
      <c r="C17" s="302"/>
    </row>
    <row r="18" spans="1:3">
      <c r="A18" s="301" t="str">
        <f>'Language 2'!B18</f>
        <v>Water Losses</v>
      </c>
      <c r="B18" s="300"/>
      <c r="C18" s="302"/>
    </row>
    <row r="19" spans="1:3">
      <c r="A19" s="301" t="str">
        <f>'Language 2'!B19</f>
        <v>Billed Authorized Consumption</v>
      </c>
      <c r="B19" s="300"/>
      <c r="C19" s="302"/>
    </row>
    <row r="20" spans="1:3">
      <c r="A20" s="301" t="str">
        <f>'Language 2'!B20</f>
        <v>Unbilled Authorized Consumption</v>
      </c>
      <c r="B20" s="300"/>
      <c r="C20" s="302"/>
    </row>
    <row r="21" spans="1:3">
      <c r="A21" s="301" t="str">
        <f>'Language 2'!B21</f>
        <v>Commercial Losses</v>
      </c>
      <c r="B21" s="300"/>
      <c r="C21" s="302"/>
    </row>
    <row r="22" spans="1:3">
      <c r="A22" s="301" t="str">
        <f>'Language 2'!B22</f>
        <v>Physical Losses</v>
      </c>
      <c r="B22" s="300"/>
      <c r="C22" s="302"/>
    </row>
    <row r="23" spans="1:3">
      <c r="A23" s="301" t="str">
        <f>'Language 2'!B23</f>
        <v>Billed Metered Consumption</v>
      </c>
      <c r="B23" s="300"/>
      <c r="C23" s="302"/>
    </row>
    <row r="24" spans="1:3">
      <c r="A24" s="301" t="str">
        <f>'Language 2'!B24</f>
        <v>Billed Unmetered Consumption</v>
      </c>
      <c r="B24" s="300"/>
      <c r="C24" s="302"/>
    </row>
    <row r="25" spans="1:3">
      <c r="A25" s="301" t="str">
        <f>'Language 2'!B25</f>
        <v>Unbilled Metered Consumption</v>
      </c>
      <c r="B25" s="300"/>
      <c r="C25" s="302"/>
    </row>
    <row r="26" spans="1:3">
      <c r="A26" s="301" t="str">
        <f>'Language 2'!B26</f>
        <v>Unbilled Unmetered Consumption</v>
      </c>
      <c r="B26" s="300"/>
      <c r="C26" s="302"/>
    </row>
    <row r="27" spans="1:3">
      <c r="A27" s="301" t="str">
        <f>'Language 2'!B27</f>
        <v>Customer Meter Inaccuracies and Data Handling Errors</v>
      </c>
      <c r="B27" s="300"/>
      <c r="C27" s="302"/>
    </row>
    <row r="28" spans="1:3">
      <c r="A28" s="301" t="str">
        <f>'Language 2'!B28</f>
        <v>Revenue Water</v>
      </c>
      <c r="B28" s="300"/>
      <c r="C28" s="302"/>
    </row>
    <row r="29" spans="1:3">
      <c r="A29" s="301" t="str">
        <f>'Language 2'!B29</f>
        <v>Non-Revenue Water</v>
      </c>
      <c r="B29" s="300"/>
      <c r="C29" s="302"/>
    </row>
    <row r="30" spans="1:3">
      <c r="A30" s="301" t="str">
        <f>'Language 2'!B30</f>
        <v>Error Margin [+/-]:</v>
      </c>
      <c r="B30" s="300"/>
      <c r="C30" s="302"/>
    </row>
    <row r="31" spans="1:3">
      <c r="A31" s="301" t="str">
        <f>'Language 2'!B31</f>
        <v>m3/day</v>
      </c>
      <c r="B31" s="300"/>
      <c r="C31" s="302"/>
    </row>
    <row r="32" spans="1:3">
      <c r="A32" s="301" t="str">
        <f>'Language 2'!B32</f>
        <v>Best Estimate</v>
      </c>
      <c r="B32" s="300"/>
      <c r="C32" s="302"/>
    </row>
    <row r="33" spans="1:3" ht="25">
      <c r="A33" s="301" t="str">
        <f>'Language 2'!B33</f>
        <v>Error Margin
[+/- %]</v>
      </c>
      <c r="B33" s="300"/>
      <c r="C33" s="302"/>
    </row>
    <row r="34" spans="1:3">
      <c r="A34" s="301" t="str">
        <f>'Language 2'!B34</f>
        <v>Lower Bound</v>
      </c>
      <c r="B34" s="300"/>
      <c r="C34" s="302"/>
    </row>
    <row r="35" spans="1:3">
      <c r="A35" s="301" t="str">
        <f>'Language 2'!B35</f>
        <v>Upper Bound</v>
      </c>
      <c r="B35" s="300"/>
      <c r="C35" s="302"/>
    </row>
    <row r="36" spans="1:3">
      <c r="A36" s="301" t="str">
        <f>'Language 2'!B36</f>
        <v>Level of Service</v>
      </c>
      <c r="B36" s="300"/>
      <c r="C36" s="302"/>
    </row>
    <row r="37" spans="1:3">
      <c r="A37" s="301" t="str">
        <f>'Language 2'!B37</f>
        <v>Volume of Physical Losses</v>
      </c>
      <c r="B37" s="300"/>
      <c r="C37" s="302"/>
    </row>
    <row r="38" spans="1:3">
      <c r="A38" s="301" t="str">
        <f>'Language 2'!B38</f>
        <v>Physical Loss Performance Indicators</v>
      </c>
      <c r="B38" s="300"/>
      <c r="C38" s="302"/>
    </row>
    <row r="39" spans="1:3">
      <c r="A39" s="301" t="str">
        <f>'Language 2'!B39</f>
        <v>Commercial Loss Performance Indicators</v>
      </c>
      <c r="B39" s="300"/>
      <c r="C39" s="302"/>
    </row>
    <row r="40" spans="1:3">
      <c r="A40" s="301" t="str">
        <f>'Language 2'!B40</f>
        <v>Financial Performance Indicators</v>
      </c>
      <c r="B40" s="300"/>
      <c r="C40" s="302"/>
    </row>
    <row r="41" spans="1:3">
      <c r="A41" s="301" t="str">
        <f>'Language 2'!B41</f>
        <v>Performance Group</v>
      </c>
      <c r="B41" s="300"/>
      <c r="C41" s="302"/>
    </row>
    <row r="42" spans="1:3">
      <c r="A42" s="301" t="str">
        <f>'Language 2'!B42</f>
        <v>Standard</v>
      </c>
      <c r="B42" s="300"/>
      <c r="C42" s="302"/>
    </row>
    <row r="43" spans="1:3">
      <c r="A43" s="301" t="str">
        <f>'Language 2'!B43</f>
        <v>Low and Middle Income Countries</v>
      </c>
      <c r="B43" s="300"/>
      <c r="C43" s="302"/>
    </row>
    <row r="44" spans="1:3">
      <c r="A44" s="301" t="str">
        <f>'Language 2'!B44</f>
        <v>Average Supply Time [h/day]</v>
      </c>
      <c r="B44" s="300"/>
      <c r="C44" s="302"/>
    </row>
    <row r="45" spans="1:3">
      <c r="A45" s="301" t="str">
        <f>'Language 2'!B45</f>
        <v>Average Pressure [m]</v>
      </c>
      <c r="B45" s="300"/>
      <c r="C45" s="302"/>
    </row>
    <row r="46" spans="1:3">
      <c r="A46" s="301" t="str">
        <f>'Language 2'!B46</f>
        <v>CAPL - Current Annual Volume of Physical Losses [m3/day]</v>
      </c>
      <c r="B46" s="300"/>
      <c r="C46" s="302"/>
    </row>
    <row r="47" spans="1:3" ht="25">
      <c r="A47" s="301" t="str">
        <f>'Language 2'!B47</f>
        <v>MAPL - Minimum Achievable Volume of Physical Losses [m3/day]</v>
      </c>
      <c r="B47" s="300"/>
      <c r="C47" s="302"/>
    </row>
    <row r="48" spans="1:3" ht="50">
      <c r="A48" s="301" t="str">
        <f>'Language 2'!B48</f>
        <v>Liters per Connection per Day (w.s.p.)
w.s.p.: when the system is pressurized - this means the value is already corrected in the case of intermittent supply</v>
      </c>
      <c r="B48" s="300"/>
      <c r="C48" s="302"/>
    </row>
    <row r="49" spans="1:3">
      <c r="A49" s="301" t="str">
        <f>'Language 2'!B49</f>
        <v>Liters per Connection per Day per meter Pressure (w.s.p.)</v>
      </c>
      <c r="B49" s="300"/>
      <c r="C49" s="302"/>
    </row>
    <row r="50" spans="1:3">
      <c r="A50" s="301" t="str">
        <f>'Language 2'!B50</f>
        <v>Infrastructure Leakage Index (ILI)</v>
      </c>
      <c r="B50" s="300"/>
      <c r="C50" s="302"/>
    </row>
    <row r="51" spans="1:3" ht="25">
      <c r="A51" s="301" t="str">
        <f>'Language 2'!B51</f>
        <v>Commercial Losses expressed in % of Authorized Consumption</v>
      </c>
      <c r="B51" s="300"/>
      <c r="C51" s="302"/>
    </row>
    <row r="52" spans="1:3" ht="25">
      <c r="A52" s="301" t="str">
        <f>'Language 2'!B52</f>
        <v>Volume of Non-Revenue Water expressed in % of System Input Volume</v>
      </c>
      <c r="B52" s="300"/>
      <c r="C52" s="302"/>
    </row>
    <row r="53" spans="1:3" ht="25">
      <c r="A53" s="301" t="str">
        <f>'Language 2'!B53</f>
        <v>Value of Non-Revenue Water expressed in % of Annual Operating Cost</v>
      </c>
      <c r="B53" s="300"/>
      <c r="C53" s="302"/>
    </row>
    <row r="54" spans="1:3">
      <c r="A54" s="301" t="str">
        <f>'Language 2'!B54</f>
        <v>Distribution and Transmission Mains</v>
      </c>
      <c r="B54" s="300"/>
      <c r="C54" s="302"/>
    </row>
    <row r="55" spans="1:3">
      <c r="A55" s="301" t="str">
        <f>'Language 2'!B55</f>
        <v>Service Connections</v>
      </c>
      <c r="B55" s="300"/>
      <c r="C55" s="302"/>
    </row>
    <row r="56" spans="1:3">
      <c r="A56" s="301" t="str">
        <f>'Language 2'!B56</f>
        <v>Description</v>
      </c>
      <c r="B56" s="300"/>
      <c r="C56" s="302"/>
    </row>
    <row r="57" spans="1:3" ht="25">
      <c r="A57" s="301" t="str">
        <f>'Language 2'!B57</f>
        <v>Length
[km]</v>
      </c>
      <c r="B57" s="300"/>
      <c r="C57" s="302"/>
    </row>
    <row r="58" spans="1:3">
      <c r="A58" s="301" t="str">
        <f>'Language 2'!B58</f>
        <v>Number</v>
      </c>
      <c r="B58" s="300"/>
      <c r="C58" s="302"/>
    </row>
    <row r="59" spans="1:3">
      <c r="A59" s="301" t="str">
        <f>'Language 2'!B59</f>
        <v>Total [km]</v>
      </c>
      <c r="B59" s="300"/>
      <c r="C59" s="302"/>
    </row>
    <row r="60" spans="1:3">
      <c r="A60" s="301" t="str">
        <f>'Language 2'!B60</f>
        <v>Possible underestimation</v>
      </c>
      <c r="B60" s="300"/>
      <c r="C60" s="302"/>
    </row>
    <row r="61" spans="1:3">
      <c r="A61" s="301" t="str">
        <f>'Language 2'!B61</f>
        <v>Pipe Length [km]</v>
      </c>
      <c r="B61" s="300"/>
      <c r="C61" s="302"/>
    </row>
    <row r="62" spans="1:3">
      <c r="A62" s="301" t="str">
        <f>'Language 2'!B62</f>
        <v>Minimum</v>
      </c>
      <c r="B62" s="300"/>
      <c r="C62" s="302"/>
    </row>
    <row r="63" spans="1:3">
      <c r="A63" s="301" t="str">
        <f>'Language 2'!B63</f>
        <v>Maximum</v>
      </c>
      <c r="B63" s="300"/>
      <c r="C63" s="302"/>
    </row>
    <row r="64" spans="1:3">
      <c r="A64" s="301" t="str">
        <f>'Language 2'!B64</f>
        <v>Best Estimate</v>
      </c>
      <c r="B64" s="300"/>
      <c r="C64" s="302"/>
    </row>
    <row r="65" spans="1:3" ht="50">
      <c r="A65" s="301" t="str">
        <f>'Language 2'!B65</f>
        <v>Number of Connections of Registered Customers
Note: this figure is most likely (a little bit) less than the number of customers</v>
      </c>
      <c r="B65" s="300"/>
      <c r="C65" s="302"/>
    </row>
    <row r="66" spans="1:3">
      <c r="A66" s="301" t="str">
        <f>'Language 2'!B66</f>
        <v>Estimated Number of Illegal Connections</v>
      </c>
      <c r="B66" s="300"/>
      <c r="C66" s="302"/>
    </row>
    <row r="67" spans="1:3">
      <c r="A67" s="301" t="str">
        <f>'Language 2'!B67</f>
        <v>Number of Connections</v>
      </c>
      <c r="B67" s="300"/>
      <c r="C67" s="302"/>
    </row>
    <row r="68" spans="1:3" ht="25">
      <c r="A68" s="301" t="str">
        <f>'Language 2'!B68</f>
        <v>Average Length of Service Connection from Property Boundary to Customer Meter [meter]</v>
      </c>
      <c r="B68" s="300"/>
      <c r="C68" s="302"/>
    </row>
    <row r="69" spans="1:3" ht="25">
      <c r="A69" s="301" t="str">
        <f>'Language 2'!B69</f>
        <v>Total Length of Service Connections from Property Boundary to Customer Meter [kilometer]</v>
      </c>
      <c r="B69" s="300"/>
      <c r="C69" s="302"/>
    </row>
    <row r="70" spans="1:3">
      <c r="A70" s="301" t="str">
        <f>'Language 2'!B70</f>
        <v>Average Pressure</v>
      </c>
      <c r="B70" s="300"/>
      <c r="C70" s="302"/>
    </row>
    <row r="71" spans="1:3">
      <c r="A71" s="301" t="str">
        <f>'Language 2'!B71</f>
        <v>Intermittent Supply</v>
      </c>
      <c r="B71" s="300"/>
      <c r="C71" s="302"/>
    </row>
    <row r="72" spans="1:3">
      <c r="A72" s="301" t="str">
        <f>'Language 2'!B72</f>
        <v>Area</v>
      </c>
      <c r="B72" s="300"/>
      <c r="C72" s="302"/>
    </row>
    <row r="73" spans="1:3">
      <c r="A73" s="301" t="str">
        <f>'Language 2'!B73</f>
        <v>Approximate Number of Connections</v>
      </c>
      <c r="B73" s="300"/>
      <c r="C73" s="302"/>
    </row>
    <row r="74" spans="1:3" ht="25">
      <c r="A74" s="301" t="str">
        <f>'Language 2'!B74</f>
        <v>Daily Average Pressure
[m]</v>
      </c>
      <c r="B74" s="300"/>
      <c r="C74" s="302"/>
    </row>
    <row r="75" spans="1:3" ht="25">
      <c r="A75" s="301" t="str">
        <f>'Language 2'!B75</f>
        <v>Supply Time
[days per week]</v>
      </c>
      <c r="B75" s="300"/>
      <c r="C75" s="302"/>
    </row>
    <row r="76" spans="1:3" ht="25">
      <c r="A76" s="301" t="str">
        <f>'Language 2'!B76</f>
        <v>Supply Time
[hours per day]</v>
      </c>
      <c r="B76" s="300"/>
      <c r="C76" s="302"/>
    </row>
    <row r="77" spans="1:3">
      <c r="A77" s="301" t="str">
        <f>'Language 2'!B77</f>
        <v>Average Daily Supply Time [hours]</v>
      </c>
      <c r="B77" s="300"/>
      <c r="C77" s="302"/>
    </row>
    <row r="78" spans="1:3">
      <c r="A78" s="301" t="str">
        <f>'Language 2'!B78</f>
        <v>Water Source</v>
      </c>
      <c r="B78" s="300"/>
      <c r="C78" s="302"/>
    </row>
    <row r="79" spans="1:3">
      <c r="A79" s="301" t="str">
        <f>'Language 2'!B79</f>
        <v>System Input Volume [m3]</v>
      </c>
      <c r="B79" s="300"/>
      <c r="C79" s="302"/>
    </row>
    <row r="80" spans="1:3">
      <c r="A80" s="301" t="str">
        <f>'Language 2'!B80</f>
        <v>Financial Information</v>
      </c>
      <c r="B80" s="300"/>
      <c r="C80" s="302"/>
    </row>
    <row r="81" spans="1:3">
      <c r="A81" s="301" t="str">
        <f>'Language 2'!B81</f>
        <v>Average Tariff</v>
      </c>
      <c r="B81" s="300"/>
      <c r="C81" s="302"/>
    </row>
    <row r="82" spans="1:3" ht="25">
      <c r="A82" s="301" t="str">
        <f>'Language 2'!B82</f>
        <v>Variable Production and Distribution Cost
(Marginal Cost of Water)</v>
      </c>
      <c r="B82" s="300"/>
      <c r="C82" s="302"/>
    </row>
    <row r="83" spans="1:3">
      <c r="A83" s="301" t="str">
        <f>'Language 2'!B83</f>
        <v>per m3</v>
      </c>
      <c r="B83" s="300"/>
      <c r="C83" s="302"/>
    </row>
    <row r="84" spans="1:3">
      <c r="A84" s="301" t="str">
        <f>'Language 2'!B84</f>
        <v>Currency</v>
      </c>
      <c r="B84" s="300"/>
      <c r="C84" s="302"/>
    </row>
    <row r="85" spans="1:3" ht="75">
      <c r="A85" s="301"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300"/>
      <c r="C85" s="303"/>
    </row>
    <row r="86" spans="1:3">
      <c r="A86" s="301" t="str">
        <f>'Language 2'!B86</f>
        <v>NRW Component</v>
      </c>
      <c r="B86" s="300"/>
      <c r="C86" s="302"/>
    </row>
    <row r="87" spans="1:3">
      <c r="A87" s="301" t="str">
        <f>'Language 2'!B87</f>
        <v>Annual Value</v>
      </c>
      <c r="B87" s="300"/>
      <c r="C87" s="302"/>
    </row>
    <row r="88" spans="1:3">
      <c r="A88" s="301" t="str">
        <f>'Language 2'!B88</f>
        <v>Total Value of NRW</v>
      </c>
      <c r="B88" s="300"/>
      <c r="C88" s="302"/>
    </row>
    <row r="89" spans="1:3">
      <c r="A89" s="301" t="str">
        <f>'Language 2'!B89</f>
        <v>Annual Operating Cost (without Depreciation)</v>
      </c>
      <c r="B89" s="300"/>
      <c r="C89" s="302"/>
    </row>
    <row r="90" spans="1:3">
      <c r="A90" s="301" t="str">
        <f>'Language 2'!B90</f>
        <v>Bulk Water Supply (Export)</v>
      </c>
      <c r="B90" s="300"/>
      <c r="C90" s="302"/>
    </row>
    <row r="91" spans="1:3">
      <c r="A91" s="301" t="str">
        <f>'Language 2'!B91</f>
        <v>[m3]</v>
      </c>
      <c r="B91" s="300"/>
      <c r="C91" s="302"/>
    </row>
    <row r="92" spans="1:3">
      <c r="A92" s="301" t="str">
        <f>'Language 2'!B92</f>
        <v>Estimated Number</v>
      </c>
      <c r="B92" s="300"/>
      <c r="C92" s="302"/>
    </row>
    <row r="93" spans="1:3">
      <c r="A93" s="301" t="str">
        <f>'Language 2'!B93</f>
        <v>Persons per House</v>
      </c>
      <c r="B93" s="300"/>
      <c r="C93" s="302"/>
    </row>
    <row r="94" spans="1:3">
      <c r="A94" s="301" t="str">
        <f>'Language 2'!B94</f>
        <v>Consumption [liters/person/day]</v>
      </c>
      <c r="B94" s="300"/>
      <c r="C94" s="302"/>
    </row>
    <row r="95" spans="1:3" ht="25">
      <c r="A95" s="301" t="str">
        <f>'Language 2'!B95</f>
        <v>Total
[m3]</v>
      </c>
      <c r="B95" s="300"/>
      <c r="C95" s="302"/>
    </row>
    <row r="96" spans="1:3" ht="25">
      <c r="A96" s="301" t="str">
        <f>'Language 2'!B96</f>
        <v>Consumption
[liters/connection/day]</v>
      </c>
      <c r="B96" s="300"/>
      <c r="C96" s="302"/>
    </row>
    <row r="97" spans="1:3" ht="25">
      <c r="A97" s="301" t="str">
        <f>'Language 2'!B97</f>
        <v>Consumption
[liters/customer/day]</v>
      </c>
      <c r="B97" s="300"/>
      <c r="C97" s="302"/>
    </row>
    <row r="98" spans="1:3">
      <c r="A98" s="301" t="str">
        <f>'Language 2'!B98</f>
        <v>Unauthorized Consumption [m3]</v>
      </c>
      <c r="B98" s="300"/>
      <c r="C98" s="302"/>
    </row>
    <row r="99" spans="1:3">
      <c r="A99" s="301" t="str">
        <f>'Language 2'!B99</f>
        <v>Meter under-registration</v>
      </c>
      <c r="B99" s="300"/>
      <c r="C99" s="302"/>
    </row>
    <row r="100" spans="1:3">
      <c r="A100" s="301" t="str">
        <f>'Language 2'!B100</f>
        <v>Estimated % of under-reading</v>
      </c>
      <c r="B100" s="300"/>
      <c r="C100" s="302"/>
    </row>
    <row r="101" spans="1:3">
      <c r="A101" s="301" t="str">
        <f>'Language 2'!B101</f>
        <v>Billed Metered Consumption (without Bulk Supply)</v>
      </c>
      <c r="B101" s="300"/>
      <c r="C101" s="302"/>
    </row>
    <row r="102" spans="1:3">
      <c r="A102" s="301" t="str">
        <f>'Language 2'!B102</f>
        <v>Metered Bulk Supply (Export)</v>
      </c>
      <c r="B102" s="300"/>
      <c r="C102" s="302"/>
    </row>
    <row r="103" spans="1:3">
      <c r="A103" s="301" t="str">
        <f>'Language 2'!B103</f>
        <v>Unbilled Metered Consumption (without Bulk Supply)</v>
      </c>
      <c r="B103" s="300"/>
      <c r="C103" s="302"/>
    </row>
    <row r="104" spans="1:3">
      <c r="A104" s="301" t="str">
        <f>'Language 2'!B104</f>
        <v>Bulk Water Supply (Export)</v>
      </c>
      <c r="B104" s="300"/>
      <c r="C104" s="302"/>
    </row>
    <row r="105" spans="1:3">
      <c r="A105" s="301" t="str">
        <f>'Language 2'!B105</f>
        <v>Corrupt Meter Reading Practices</v>
      </c>
      <c r="B105" s="300"/>
      <c r="C105" s="302"/>
    </row>
    <row r="106" spans="1:3">
      <c r="A106" s="301" t="str">
        <f>'Language 2'!B106</f>
        <v>Data Handling Errors (Office)</v>
      </c>
      <c r="B106" s="300"/>
      <c r="C106" s="302"/>
    </row>
    <row r="107" spans="1:3">
      <c r="A107" s="301" t="str">
        <f>'Language 2'!B107</f>
        <v>m3/km mains per hour (w.s.p.)</v>
      </c>
      <c r="B107" s="300"/>
      <c r="C107" s="302"/>
    </row>
    <row r="108" spans="1:3">
      <c r="A108" s="301" t="str">
        <f>'Language 2'!B108</f>
        <v>Unbilled Unmetered Consumption [m3]</v>
      </c>
      <c r="B108" s="300"/>
      <c r="C108" s="302"/>
    </row>
    <row r="109" spans="1:3">
      <c r="A109" s="301" t="str">
        <f>'Language 2'!B109</f>
        <v>Consumption [m3/day]</v>
      </c>
      <c r="B109" s="300"/>
      <c r="C109" s="302"/>
    </row>
    <row r="110" spans="1:3">
      <c r="A110" s="301" t="str">
        <f>'Language 2'!B110</f>
        <v>Illegal Connections - domestic</v>
      </c>
      <c r="B110" s="300"/>
      <c r="C110" s="302"/>
    </row>
    <row r="111" spans="1:3">
      <c r="A111" s="301" t="str">
        <f>'Language 2'!B111</f>
        <v>Illegal Connections - others</v>
      </c>
      <c r="B111" s="300"/>
      <c r="C111" s="302"/>
    </row>
    <row r="112" spans="1:3">
      <c r="A112" s="301" t="str">
        <f>'Language 2'!B112</f>
        <v>Meter tampering, bypasses, etc. at registered customers</v>
      </c>
      <c r="B112" s="300"/>
      <c r="C112" s="302"/>
    </row>
    <row r="113" spans="1:3">
      <c r="A113" s="301" t="str">
        <f>'Language 2'!B113</f>
        <v>Charts</v>
      </c>
      <c r="B113" s="300"/>
      <c r="C113" s="302"/>
    </row>
    <row r="114" spans="1:3">
      <c r="A114" s="301" t="str">
        <f>'Language 2'!B114</f>
        <v>Data Entry</v>
      </c>
      <c r="B114" s="300"/>
      <c r="C114" s="302"/>
    </row>
    <row r="115" spans="1:3">
      <c r="A115" s="301" t="str">
        <f>'Language 2'!B115</f>
        <v>Results</v>
      </c>
      <c r="B115" s="300"/>
      <c r="C115" s="302"/>
    </row>
    <row r="116" spans="1:3">
      <c r="A116" s="301" t="str">
        <f>'Language 2'!B116</f>
        <v>Explanations</v>
      </c>
      <c r="B116" s="300"/>
      <c r="C116" s="302"/>
    </row>
    <row r="117" spans="1:3">
      <c r="A117" s="301" t="str">
        <f>'Language 2'!B117</f>
        <v>Randomly Selected International Data Set</v>
      </c>
      <c r="B117" s="300"/>
      <c r="C117" s="302"/>
    </row>
    <row r="118" spans="1:3">
      <c r="A118" s="301" t="str">
        <f>'Language 2'!B118</f>
        <v>Utility Name:</v>
      </c>
      <c r="B118" s="300"/>
      <c r="C118" s="302"/>
    </row>
    <row r="119" spans="1:3">
      <c r="A119" s="301" t="str">
        <f>'Language 2'!B119</f>
        <v>Year:</v>
      </c>
      <c r="B119" s="300"/>
      <c r="C119" s="302"/>
    </row>
    <row r="120" spans="1:3">
      <c r="A120" s="301" t="str">
        <f>'Language 2'!B120</f>
        <v>Water Losses - Volume and Value (Cost)</v>
      </c>
      <c r="B120" s="300"/>
      <c r="C120" s="302"/>
    </row>
    <row r="121" spans="1:3">
      <c r="A121" s="301" t="str">
        <f>'Language 2'!B121</f>
        <v>International Benchmarking</v>
      </c>
      <c r="B121" s="304"/>
      <c r="C121" s="302"/>
    </row>
    <row r="122" spans="1:3">
      <c r="A122" s="301">
        <f>'Language 2'!B122</f>
        <v>0</v>
      </c>
      <c r="B122" s="304"/>
      <c r="C122" s="302"/>
    </row>
    <row r="123" spans="1:3">
      <c r="A123" s="301" t="str">
        <f>'Language 2'!B123</f>
        <v>Physical Loss Assessment Matrix</v>
      </c>
      <c r="B123" s="304"/>
      <c r="C123" s="302"/>
    </row>
    <row r="124" spans="1:3">
      <c r="A124" s="301" t="str">
        <f>'Language 2'!B124</f>
        <v>Technical Performance Category</v>
      </c>
      <c r="B124" s="304"/>
      <c r="C124" s="302"/>
    </row>
    <row r="125" spans="1:3">
      <c r="A125" s="301" t="str">
        <f>'Language 2'!B125</f>
        <v xml:space="preserve">Liters/connection/day </v>
      </c>
      <c r="B125" s="304"/>
      <c r="C125" s="302"/>
    </row>
    <row r="126" spans="1:3">
      <c r="A126" s="301" t="str">
        <f>'Language 2'!B126</f>
        <v>(when the system is pressurized) at an average pressure of:</v>
      </c>
      <c r="B126" s="304"/>
      <c r="C126" s="302"/>
    </row>
    <row r="127" spans="1:3">
      <c r="A127" s="301" t="str">
        <f>'Language 2'!B127</f>
        <v>Back to Indicators</v>
      </c>
      <c r="B127" s="304"/>
      <c r="C127" s="302"/>
    </row>
    <row r="128" spans="1:3">
      <c r="A128" s="301" t="str">
        <f>'Language 2'!B128</f>
        <v>Home</v>
      </c>
      <c r="B128" s="304"/>
      <c r="C128" s="302"/>
    </row>
    <row r="129" spans="1:3" ht="37.5">
      <c r="A129" s="301" t="str">
        <f>'Language 2'!B129</f>
        <v>Further loss reduction may be uneconomic unless there are shortages; careful analysis needed to identify cost effective improvement</v>
      </c>
      <c r="B129" s="304"/>
      <c r="C129" s="302"/>
    </row>
    <row r="130" spans="1:3" ht="37.5">
      <c r="A130" s="301" t="str">
        <f>'Language 2'!B130</f>
        <v>Potential for marked improvements; consider   pressure management; better active leakage control practices, and better network maintenance</v>
      </c>
      <c r="B130" s="304"/>
      <c r="C130" s="302"/>
    </row>
    <row r="131" spans="1:3" ht="37.5">
      <c r="A131" s="301" t="str">
        <f>'Language 2'!B131</f>
        <v>Poor leakage record; tolerable only if water is plentiful and cheap; even then, analyze level and nature of leakage and intensify leakage reduction efforts</v>
      </c>
      <c r="B131" s="304"/>
      <c r="C131" s="302"/>
    </row>
    <row r="132" spans="1:3" ht="25">
      <c r="A132" s="301" t="str">
        <f>'Language 2'!B132</f>
        <v>Horrendously inefficient use of resources; leakage reduction programs imperative and high priority</v>
      </c>
      <c r="B132" s="304"/>
      <c r="C132" s="302"/>
    </row>
    <row r="133" spans="1:3" ht="75">
      <c r="A133" s="301"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4"/>
      <c r="C133" s="302"/>
    </row>
    <row r="134" spans="1:3" ht="75">
      <c r="A134" s="301"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4"/>
      <c r="C134" s="302"/>
    </row>
    <row r="135" spans="1:3" ht="87.5">
      <c r="A135" s="301"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4"/>
      <c r="C135" s="302"/>
    </row>
    <row r="136" spans="1:3" ht="25">
      <c r="A136" s="301" t="str">
        <f>'Language 2'!B136</f>
        <v>4.) WB-EasyCalc was optimized for a screen resolution of 1024 x 768 Pixel</v>
      </c>
      <c r="B136" s="304"/>
      <c r="C136" s="302"/>
    </row>
    <row r="137" spans="1:3">
      <c r="A137" s="301" t="str">
        <f>'Language 2'!B137</f>
        <v xml:space="preserve">5.) Color Coding: </v>
      </c>
      <c r="B137" s="304"/>
      <c r="C137" s="302"/>
    </row>
    <row r="138" spans="1:3">
      <c r="A138" s="301" t="str">
        <f>'Language 2'!B138</f>
        <v>white cells are for data entry</v>
      </c>
      <c r="B138" s="304"/>
      <c r="C138" s="302"/>
    </row>
    <row r="139" spans="1:3">
      <c r="A139" s="301" t="str">
        <f>'Language 2'!B139</f>
        <v>dark blue cells are calculated values</v>
      </c>
      <c r="B139" s="304"/>
      <c r="C139" s="302"/>
    </row>
    <row r="140" spans="1:3" ht="62.5">
      <c r="A140" s="301"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4"/>
      <c r="C140" s="302"/>
    </row>
    <row r="141" spans="1:3" ht="25">
      <c r="A141" s="301" t="str">
        <f>'Language 2'!B141</f>
        <v>7.) The program is protected with passwords which will not be revealed.</v>
      </c>
      <c r="B141" s="304"/>
      <c r="C141" s="302"/>
    </row>
    <row r="142" spans="1:3" ht="37.5">
      <c r="A142" s="301" t="str">
        <f>'Language 2'!B142</f>
        <v>8.) GIGO - Garbage in Garbage out! The user has to be aware that results calculated with this program can be extremely wrong if base data is wrong or incomplete.</v>
      </c>
      <c r="B142" s="304"/>
      <c r="C142" s="302"/>
    </row>
    <row r="143" spans="1:3" ht="50">
      <c r="A143" s="301" t="str">
        <f>'Language 2'!B143</f>
        <v>9.) It is ALWAYS recommended to carry out a thorough leakage analysis based on measurements in the distribution network to support and verify the physical loss figure calculated with this program.</v>
      </c>
      <c r="B143" s="304"/>
      <c r="C143" s="302"/>
    </row>
    <row r="144" spans="1:3" ht="50">
      <c r="A144" s="301" t="str">
        <f>'Language 2'!B144</f>
        <v>10.) When using this program for the first time, it is recommended to first familiarize with the methodology. A complete set of background reading materials can be downloaded from www.liemberger.cc</v>
      </c>
      <c r="B144" s="304"/>
      <c r="C144" s="302"/>
    </row>
    <row r="145" spans="1:3" ht="25">
      <c r="A145" s="301" t="str">
        <f>'Language 2'!B145</f>
        <v>11.) Liemberger &amp; Partners would appreciate feedback! Please send your comments to office@liemberger.cc</v>
      </c>
      <c r="B145" s="304"/>
      <c r="C145" s="302"/>
    </row>
    <row r="146" spans="1:3" ht="37.5">
      <c r="A146" s="301" t="str">
        <f>'Language 2'!B146</f>
        <v>12.) WB-EasyCalc will be continuously improved and upgraded - revisit www.liemberger.cc from time to time to check for new versions.</v>
      </c>
      <c r="B146" s="304"/>
      <c r="C146" s="302"/>
    </row>
    <row r="147" spans="1:3" ht="37.5">
      <c r="A147" s="301" t="str">
        <f>'Language 2'!B147</f>
        <v>Enter 1 to use an overall % for meter under-registration or 2 for manual entering of volumes and under-registration of different meter or customer types</v>
      </c>
      <c r="B147" s="304"/>
      <c r="C147" s="302"/>
    </row>
    <row r="148" spans="1:3">
      <c r="A148" s="301" t="str">
        <f>'Language 2'!B148</f>
        <v>Number of inactive accounts with existing service connection</v>
      </c>
      <c r="B148" s="304"/>
      <c r="C148" s="302"/>
    </row>
    <row r="149" spans="1:3">
      <c r="A149" s="301" t="str">
        <f>'Language 2'!B149</f>
        <v>The volumes used for this water balance are for a period of:</v>
      </c>
      <c r="B149" s="304"/>
      <c r="C149" s="302"/>
    </row>
    <row r="150" spans="1:3">
      <c r="A150" s="301" t="str">
        <f>'Language 2'!B150</f>
        <v>days</v>
      </c>
      <c r="B150" s="304"/>
      <c r="C150" s="302"/>
    </row>
    <row r="151" spans="1:3">
      <c r="A151" s="301" t="str">
        <f>'Language 2'!B151</f>
        <v>m3/year</v>
      </c>
      <c r="B151" s="304"/>
      <c r="C151" s="302"/>
    </row>
    <row r="152" spans="1:3">
      <c r="A152" s="301" t="str">
        <f>'Language 2'!B152</f>
        <v>Water Balance in m3/year</v>
      </c>
      <c r="B152" s="304"/>
      <c r="C152" s="302"/>
    </row>
    <row r="153" spans="1:3">
      <c r="A153" s="301" t="str">
        <f>'Language 2'!B153</f>
        <v>Water Balance in m3/day</v>
      </c>
      <c r="B153" s="304"/>
      <c r="C153" s="302"/>
    </row>
    <row r="154" spans="1:3">
      <c r="A154" s="301" t="str">
        <f>'Language 2'!B154</f>
        <v>liters/connection/day</v>
      </c>
      <c r="B154" s="304"/>
      <c r="C154" s="302"/>
    </row>
    <row r="155" spans="1:3">
      <c r="A155" s="301" t="str">
        <f>'Language 2'!B155</f>
        <v>Water Balance in m3 for a period of</v>
      </c>
      <c r="B155" s="304"/>
      <c r="C155" s="302"/>
    </row>
    <row r="156" spans="1:3">
      <c r="A156" s="301" t="str">
        <f>'Language 2'!B156</f>
        <v>Water Balance for Period</v>
      </c>
      <c r="B156" s="304"/>
      <c r="C156" s="302"/>
    </row>
    <row r="157" spans="1:3">
      <c r="A157" s="301" t="str">
        <f>'Language 2'!B157</f>
        <v>Average Supply Time</v>
      </c>
      <c r="B157" s="304"/>
      <c r="C157" s="302"/>
    </row>
    <row r="158" spans="1:3">
      <c r="A158" s="301" t="str">
        <f>'Language 2'!B158</f>
        <v>Coverage</v>
      </c>
      <c r="B158" s="304"/>
      <c r="C158" s="302"/>
    </row>
    <row r="159" spans="1:3">
      <c r="A159" s="301" t="str">
        <f>'Language 2'!B159</f>
        <v>THE "WHAT IF" TOOL</v>
      </c>
      <c r="B159" s="304"/>
      <c r="C159" s="302"/>
    </row>
    <row r="160" spans="1:3">
      <c r="A160" s="301" t="str">
        <f>'Language 2'!B160</f>
        <v>IF</v>
      </c>
      <c r="B160" s="304"/>
      <c r="C160" s="302"/>
    </row>
    <row r="161" spans="1:3">
      <c r="A161" s="301" t="str">
        <f>'Language 2'!B161</f>
        <v>THEN</v>
      </c>
      <c r="B161" s="304"/>
      <c r="C161" s="302"/>
    </row>
    <row r="162" spans="1:3">
      <c r="A162" s="301" t="str">
        <f>'Language 2'!B162</f>
        <v>h/day</v>
      </c>
      <c r="B162" s="304"/>
      <c r="C162" s="302"/>
    </row>
    <row r="163" spans="1:3">
      <c r="A163" s="301" t="str">
        <f>'Language 2'!B163</f>
        <v>l/conn./d</v>
      </c>
      <c r="B163" s="304"/>
      <c r="C163" s="302"/>
    </row>
    <row r="164" spans="1:3">
      <c r="A164" s="301" t="str">
        <f>'Language 2'!B164</f>
        <v>from</v>
      </c>
      <c r="B164" s="304"/>
      <c r="C164" s="302"/>
    </row>
    <row r="165" spans="1:3">
      <c r="A165" s="301" t="str">
        <f>'Language 2'!B165</f>
        <v>to</v>
      </c>
      <c r="B165" s="304"/>
      <c r="C165" s="302"/>
    </row>
    <row r="166" spans="1:3">
      <c r="A166" s="301" t="str">
        <f>'Language 2'!B166</f>
        <v>changes</v>
      </c>
      <c r="B166" s="304"/>
      <c r="C166" s="302"/>
    </row>
    <row r="167" spans="1:3">
      <c r="A167" s="301" t="str">
        <f>'Language 2'!B167</f>
        <v>increases</v>
      </c>
      <c r="B167" s="304"/>
      <c r="C167" s="302"/>
    </row>
    <row r="168" spans="1:3">
      <c r="A168" s="301" t="str">
        <f>'Language 2'!B168</f>
        <v>change</v>
      </c>
      <c r="B168" s="304"/>
      <c r="C168" s="302"/>
    </row>
    <row r="169" spans="1:3">
      <c r="A169" s="301" t="str">
        <f>'Language 2'!B169</f>
        <v>m</v>
      </c>
      <c r="B169" s="304"/>
      <c r="C169" s="302"/>
    </row>
    <row r="170" spans="1:3">
      <c r="A170" s="301" t="str">
        <f>'Language 2'!B170</f>
        <v>km</v>
      </c>
      <c r="B170" s="304"/>
      <c r="C170" s="302"/>
    </row>
    <row r="171" spans="1:3">
      <c r="A171" s="301" t="str">
        <f>'Language 2'!B171</f>
        <v>l/conn./d (w.s.p.)</v>
      </c>
      <c r="B171" s="304"/>
      <c r="C171" s="302"/>
    </row>
    <row r="172" spans="1:3">
      <c r="A172" s="301" t="str">
        <f>'Language 2'!B172</f>
        <v xml:space="preserve">will increase approximately </v>
      </c>
      <c r="B172" s="304"/>
      <c r="C172" s="302"/>
    </row>
    <row r="173" spans="1:3">
      <c r="A173" s="301" t="str">
        <f>'Language 2'!B173</f>
        <v>will change approximately</v>
      </c>
      <c r="B173" s="304"/>
      <c r="C173" s="302"/>
    </row>
    <row r="174" spans="1:3">
      <c r="A174" s="301" t="str">
        <f>'Language 2'!B174</f>
        <v>Length of mains</v>
      </c>
      <c r="B174" s="304"/>
      <c r="C174" s="302"/>
    </row>
    <row r="175" spans="1:3">
      <c r="A175" s="301" t="str">
        <f>'Language 2'!B175</f>
        <v>Annual Revenues</v>
      </c>
      <c r="B175" s="304"/>
      <c r="C175" s="302"/>
    </row>
    <row r="176" spans="1:3">
      <c r="A176" s="301" t="str">
        <f>'Language 2'!B176</f>
        <v>Annual operating cost</v>
      </c>
      <c r="B176" s="304"/>
      <c r="C176" s="302"/>
    </row>
    <row r="177" spans="1:3">
      <c r="A177" s="301" t="str">
        <f>'Language 2'!B177</f>
        <v>The volume of NRW</v>
      </c>
      <c r="B177" s="304"/>
      <c r="C177" s="305"/>
    </row>
    <row r="178" spans="1:3">
      <c r="A178" s="301" t="str">
        <f>'Language 2'!B178</f>
        <v>The value of NRW</v>
      </c>
      <c r="B178" s="304"/>
      <c r="C178" s="302"/>
    </row>
    <row r="179" spans="1:3">
      <c r="A179" s="301" t="str">
        <f>'Language 2'!B179</f>
        <v>% of System Input Volume</v>
      </c>
      <c r="B179" s="304"/>
      <c r="C179" s="302"/>
    </row>
    <row r="180" spans="1:3">
      <c r="A180" s="301" t="str">
        <f>'Language 2'!B180</f>
        <v>% of Total Annual Operating Cost</v>
      </c>
      <c r="B180" s="304"/>
      <c r="C180" s="305"/>
    </row>
    <row r="181" spans="1:3">
      <c r="A181" s="301" t="str">
        <f>'Language 2'!B181</f>
        <v>ILI</v>
      </c>
      <c r="B181" s="304"/>
      <c r="C181" s="302"/>
    </row>
    <row r="182" spans="1:3">
      <c r="A182" s="301" t="str">
        <f>'Language 2'!B182</f>
        <v>will change approximately</v>
      </c>
      <c r="B182" s="304"/>
      <c r="C182" s="302"/>
    </row>
    <row r="183" spans="1:3">
      <c r="A183" s="301" t="str">
        <f>'Language 2'!B183</f>
        <v>m3</v>
      </c>
      <c r="B183" s="304"/>
      <c r="C183" s="302"/>
    </row>
    <row r="184" spans="1:3">
      <c r="A184" s="301" t="str">
        <f>'Language 2'!B184</f>
        <v>Number of Customers (active)</v>
      </c>
      <c r="B184" s="304"/>
      <c r="C184" s="302"/>
    </row>
    <row r="185" spans="1:3">
      <c r="A185" s="301" t="str">
        <f>'Language 2'!B185</f>
        <v>liters/customer/day</v>
      </c>
      <c r="B185" s="304"/>
      <c r="C185" s="302"/>
    </row>
    <row r="186" spans="1:3">
      <c r="A186" s="301" t="str">
        <f>'Language 2'!B186</f>
        <v>NRW Performance Indicators</v>
      </c>
      <c r="B186" s="304"/>
      <c r="C186" s="302"/>
    </row>
    <row r="187" spans="1:3" ht="38.5" customHeight="1">
      <c r="A187" s="301" t="str">
        <f>'Language 2'!B187</f>
        <v>World class leakage management performance; only marginal further reductions theoretically possible</v>
      </c>
      <c r="B187" s="304"/>
      <c r="C187" s="302"/>
    </row>
    <row r="188" spans="1:3" ht="64.150000000000006" customHeight="1">
      <c r="A188" s="301" t="str">
        <f>'Language 2'!B188</f>
        <v>World class NRW management performance; the potential for further NRW reductions is small unless there is still potential for pressure reduction or accuracy improvement of large customer meters</v>
      </c>
      <c r="B188" s="304"/>
      <c r="C188" s="302"/>
    </row>
    <row r="189" spans="1:3" ht="62.5">
      <c r="A189" s="7" t="str">
        <f>'Language 2'!B189</f>
        <v xml:space="preserve">Further NRW reduction may be uneconomic unless there are water shortages or very high water tariffs; a detailed water audit is required to identify cost-effective improvements
</v>
      </c>
      <c r="B189" s="304"/>
      <c r="C189" s="302"/>
    </row>
    <row r="190" spans="1:3" ht="100">
      <c r="A190" s="301"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4"/>
      <c r="C190" s="302"/>
    </row>
    <row r="191" spans="1:3" ht="50">
      <c r="A191" s="301" t="str">
        <f>'Language 2'!B191</f>
        <v xml:space="preserve">Poor NRW record; tolerable only if water is plentiful and cheap; even then, analyze level and causes of NRW and intensify NRW reduction efforts
</v>
      </c>
      <c r="B191" s="304"/>
      <c r="C191" s="302"/>
    </row>
    <row r="192" spans="1:3" ht="25">
      <c r="A192" s="301" t="str">
        <f>'Language 2'!B192</f>
        <v>Highly inefficient; a comprehensive NRW reduction program is imperative and high-priority</v>
      </c>
      <c r="B192" s="304"/>
      <c r="C192" s="302"/>
    </row>
    <row r="193" spans="1:3">
      <c r="A193" s="301" t="str">
        <f>'Language 2'!B193</f>
        <v>International NRW Assessment Matrix</v>
      </c>
      <c r="B193" s="304"/>
      <c r="C193" s="302"/>
    </row>
    <row r="194" spans="1:3">
      <c r="A194" s="301" t="str">
        <f>'Language 2'!B194</f>
        <v>Total Volume (m3/d)</v>
      </c>
      <c r="B194" s="304"/>
      <c r="C194" s="302"/>
    </row>
    <row r="195" spans="1:3" ht="25">
      <c r="A195" s="301" t="str">
        <f>'Language 2'!B195</f>
        <v>Volume which could be sold to existing or new customers (m3/d)</v>
      </c>
      <c r="B195" s="304"/>
      <c r="C195" s="302"/>
    </row>
    <row r="196" spans="1:3" ht="25">
      <c r="A196" s="301" t="str">
        <f>'Language 2'!B196</f>
        <v>Store up to 10 years of data and copy/paste easily to other Excel sheets!</v>
      </c>
      <c r="B196" s="304"/>
      <c r="C196" s="302"/>
    </row>
    <row r="197" spans="1:3">
      <c r="A197" s="301" t="str">
        <f>'Language 2'!B197</f>
        <v>Click the button to copy "Present" to this column</v>
      </c>
      <c r="B197" s="304"/>
      <c r="C197" s="302"/>
    </row>
    <row r="198" spans="1:3">
      <c r="A198" s="301" t="str">
        <f>'Language 2'!B198</f>
        <v>Present</v>
      </c>
      <c r="B198" s="304"/>
      <c r="C198" s="302"/>
    </row>
    <row r="199" spans="1:3">
      <c r="A199" s="301" t="str">
        <f>'Language 2'!B199</f>
        <v>Historic data</v>
      </c>
      <c r="B199" s="304"/>
      <c r="C199" s="302"/>
    </row>
    <row r="200" spans="1:3">
      <c r="A200" s="301" t="str">
        <f>'Language 2'!B200</f>
        <v>Additional volume sold to existing customers</v>
      </c>
      <c r="B200" s="304"/>
      <c r="C200" s="302"/>
    </row>
    <row r="201" spans="1:3">
      <c r="A201" s="301" t="str">
        <f>'Language 2'!B201</f>
        <v>additional m3/d</v>
      </c>
      <c r="B201" s="304"/>
      <c r="C201" s="302"/>
    </row>
    <row r="202" spans="1:3">
      <c r="A202" s="301" t="str">
        <f>'Language 2'!B202</f>
        <v>Annual Production and Distribution Cost</v>
      </c>
      <c r="B202" s="304"/>
      <c r="C202" s="302"/>
    </row>
    <row r="203" spans="1:3">
      <c r="A203" s="301">
        <f>'Language 2'!B203</f>
        <v>0</v>
      </c>
      <c r="B203" s="304"/>
      <c r="C203" s="302"/>
    </row>
    <row r="204" spans="1:3">
      <c r="A204" s="301">
        <f>'Language 2'!B204</f>
        <v>0</v>
      </c>
      <c r="B204" s="304"/>
      <c r="C204" s="302"/>
    </row>
    <row r="205" spans="1:3">
      <c r="A205" s="304"/>
      <c r="B205" s="304"/>
      <c r="C205" s="304"/>
    </row>
    <row r="206" spans="1:3">
      <c r="A206" s="304"/>
      <c r="B206" s="304"/>
      <c r="C206" s="304"/>
    </row>
    <row r="207" spans="1:3">
      <c r="A207" s="304"/>
      <c r="B207" s="304"/>
      <c r="C207" s="304"/>
    </row>
    <row r="208" spans="1:3">
      <c r="A208" s="304"/>
      <c r="B208" s="304"/>
      <c r="C208" s="304"/>
    </row>
    <row r="209" spans="1:3">
      <c r="A209" s="304"/>
      <c r="B209" s="304"/>
      <c r="C209" s="304"/>
    </row>
    <row r="210" spans="1:3">
      <c r="A210" s="304"/>
      <c r="B210" s="304"/>
      <c r="C210" s="304"/>
    </row>
    <row r="211" spans="1:3">
      <c r="A211" s="304"/>
      <c r="B211" s="304"/>
      <c r="C211" s="304"/>
    </row>
    <row r="212" spans="1:3">
      <c r="A212" s="304"/>
      <c r="B212" s="304"/>
      <c r="C212" s="304"/>
    </row>
    <row r="213" spans="1:3">
      <c r="A213" s="304"/>
      <c r="B213" s="304"/>
      <c r="C213" s="304"/>
    </row>
    <row r="214" spans="1:3">
      <c r="A214" s="304"/>
      <c r="B214" s="304"/>
      <c r="C214" s="304"/>
    </row>
    <row r="215" spans="1:3">
      <c r="A215" s="304"/>
      <c r="B215" s="304"/>
      <c r="C215" s="304"/>
    </row>
    <row r="216" spans="1:3">
      <c r="A216" s="304"/>
      <c r="B216" s="304"/>
      <c r="C216" s="304"/>
    </row>
    <row r="217" spans="1:3">
      <c r="A217" s="304"/>
      <c r="B217" s="304"/>
      <c r="C217" s="304"/>
    </row>
    <row r="218" spans="1:3">
      <c r="A218" s="304"/>
      <c r="B218" s="304"/>
      <c r="C218" s="304"/>
    </row>
    <row r="219" spans="1:3">
      <c r="A219" s="304"/>
      <c r="B219" s="304"/>
      <c r="C219" s="304"/>
    </row>
    <row r="220" spans="1:3">
      <c r="A220" s="304"/>
      <c r="B220" s="304"/>
      <c r="C220" s="304"/>
    </row>
    <row r="221" spans="1:3">
      <c r="A221" s="304"/>
      <c r="B221" s="304"/>
      <c r="C221" s="304"/>
    </row>
    <row r="222" spans="1:3">
      <c r="A222" s="304"/>
      <c r="B222" s="304"/>
      <c r="C222" s="304"/>
    </row>
    <row r="223" spans="1:3">
      <c r="A223" s="304"/>
      <c r="B223" s="304"/>
      <c r="C223" s="304"/>
    </row>
    <row r="224" spans="1:3">
      <c r="A224" s="304"/>
      <c r="B224" s="304"/>
      <c r="C224" s="304"/>
    </row>
    <row r="225" spans="1:3">
      <c r="A225" s="304"/>
      <c r="B225" s="304"/>
      <c r="C225" s="304"/>
    </row>
    <row r="226" spans="1:3">
      <c r="A226" s="304"/>
      <c r="B226" s="304"/>
      <c r="C226" s="304"/>
    </row>
    <row r="227" spans="1:3">
      <c r="A227" s="304"/>
      <c r="B227" s="304"/>
      <c r="C227" s="304"/>
    </row>
    <row r="228" spans="1:3">
      <c r="A228" s="304"/>
      <c r="B228" s="304"/>
      <c r="C228" s="304"/>
    </row>
    <row r="229" spans="1:3">
      <c r="A229" s="304"/>
      <c r="B229" s="304"/>
      <c r="C229" s="304"/>
    </row>
    <row r="230" spans="1:3">
      <c r="A230" s="304"/>
      <c r="B230" s="304"/>
      <c r="C230" s="304"/>
    </row>
    <row r="231" spans="1:3">
      <c r="A231" s="304"/>
      <c r="B231" s="304"/>
      <c r="C231" s="304"/>
    </row>
    <row r="232" spans="1:3">
      <c r="A232" s="304"/>
      <c r="B232" s="304"/>
      <c r="C232" s="304"/>
    </row>
    <row r="233" spans="1:3">
      <c r="A233" s="304"/>
      <c r="B233" s="304"/>
      <c r="C233" s="304"/>
    </row>
    <row r="234" spans="1:3">
      <c r="A234" s="304"/>
      <c r="B234" s="304"/>
      <c r="C234" s="304"/>
    </row>
    <row r="235" spans="1:3">
      <c r="A235" s="304"/>
      <c r="B235" s="304"/>
      <c r="C235" s="304"/>
    </row>
    <row r="236" spans="1:3">
      <c r="A236" s="304"/>
      <c r="B236" s="304"/>
      <c r="C236" s="304"/>
    </row>
    <row r="237" spans="1:3">
      <c r="A237" s="304"/>
      <c r="B237" s="304"/>
      <c r="C237" s="304"/>
    </row>
    <row r="238" spans="1:3">
      <c r="A238" s="304"/>
      <c r="B238" s="304"/>
      <c r="C238" s="304"/>
    </row>
    <row r="239" spans="1:3">
      <c r="A239" s="304"/>
      <c r="B239" s="304"/>
      <c r="C239" s="304"/>
    </row>
    <row r="240" spans="1:3">
      <c r="A240" s="304"/>
      <c r="B240" s="304"/>
      <c r="C240" s="304"/>
    </row>
    <row r="241" spans="1:3">
      <c r="A241" s="304"/>
      <c r="B241" s="304"/>
      <c r="C241" s="304"/>
    </row>
    <row r="242" spans="1:3">
      <c r="A242" s="304"/>
      <c r="B242" s="304"/>
      <c r="C242" s="304"/>
    </row>
    <row r="243" spans="1:3">
      <c r="A243" s="304"/>
      <c r="B243" s="304"/>
      <c r="C243" s="304"/>
    </row>
    <row r="244" spans="1:3">
      <c r="A244" s="304"/>
      <c r="B244" s="304"/>
      <c r="C244" s="304"/>
    </row>
    <row r="245" spans="1:3">
      <c r="A245" s="304"/>
      <c r="B245" s="304"/>
      <c r="C245" s="304"/>
    </row>
    <row r="246" spans="1:3">
      <c r="A246" s="304"/>
      <c r="B246" s="304"/>
      <c r="C246" s="304"/>
    </row>
    <row r="247" spans="1:3">
      <c r="A247" s="304"/>
      <c r="B247" s="304"/>
      <c r="C247" s="304"/>
    </row>
    <row r="248" spans="1:3">
      <c r="A248" s="304"/>
      <c r="B248" s="304"/>
      <c r="C248" s="304"/>
    </row>
    <row r="249" spans="1:3">
      <c r="A249" s="304"/>
      <c r="B249" s="304"/>
      <c r="C249" s="304"/>
    </row>
    <row r="250" spans="1:3">
      <c r="A250" s="304"/>
      <c r="B250" s="304"/>
      <c r="C250" s="304"/>
    </row>
    <row r="251" spans="1:3">
      <c r="A251" s="304"/>
      <c r="B251" s="304"/>
      <c r="C251" s="304"/>
    </row>
    <row r="252" spans="1:3">
      <c r="A252" s="304"/>
      <c r="B252" s="304"/>
      <c r="C252" s="304"/>
    </row>
    <row r="253" spans="1:3">
      <c r="A253" s="304"/>
      <c r="B253" s="304"/>
      <c r="C253" s="304"/>
    </row>
    <row r="254" spans="1:3">
      <c r="A254" s="304"/>
      <c r="B254" s="304"/>
      <c r="C254" s="304"/>
    </row>
    <row r="255" spans="1:3">
      <c r="A255" s="304"/>
      <c r="B255" s="304"/>
      <c r="C255" s="304"/>
    </row>
    <row r="256" spans="1:3">
      <c r="A256" s="304"/>
      <c r="B256" s="304"/>
      <c r="C256" s="304"/>
    </row>
    <row r="257" spans="1:3">
      <c r="A257" s="304"/>
      <c r="B257" s="304"/>
      <c r="C257" s="304"/>
    </row>
    <row r="258" spans="1:3">
      <c r="A258" s="304"/>
      <c r="B258" s="304"/>
      <c r="C258" s="304"/>
    </row>
    <row r="259" spans="1:3">
      <c r="A259" s="304"/>
      <c r="B259" s="304"/>
      <c r="C259" s="304"/>
    </row>
    <row r="260" spans="1:3">
      <c r="A260" s="304"/>
      <c r="B260" s="304"/>
      <c r="C260" s="304"/>
    </row>
    <row r="261" spans="1:3">
      <c r="A261" s="304"/>
      <c r="B261" s="304"/>
      <c r="C261" s="304"/>
    </row>
    <row r="262" spans="1:3">
      <c r="A262" s="304"/>
      <c r="B262" s="304"/>
      <c r="C262" s="304"/>
    </row>
    <row r="263" spans="1:3">
      <c r="A263" s="304"/>
      <c r="B263" s="304"/>
      <c r="C263" s="304"/>
    </row>
    <row r="264" spans="1:3">
      <c r="A264" s="304"/>
      <c r="B264" s="304"/>
      <c r="C264" s="304"/>
    </row>
    <row r="265" spans="1:3">
      <c r="A265" s="304"/>
      <c r="B265" s="304"/>
      <c r="C265" s="304"/>
    </row>
    <row r="266" spans="1:3">
      <c r="A266" s="304"/>
      <c r="B266" s="304"/>
      <c r="C266" s="304"/>
    </row>
    <row r="267" spans="1:3">
      <c r="A267" s="304"/>
      <c r="B267" s="304"/>
      <c r="C267" s="304"/>
    </row>
    <row r="268" spans="1:3">
      <c r="A268" s="304"/>
      <c r="B268" s="304"/>
      <c r="C268" s="304"/>
    </row>
    <row r="269" spans="1:3">
      <c r="A269" s="304"/>
      <c r="B269" s="304"/>
      <c r="C269" s="304"/>
    </row>
    <row r="270" spans="1:3">
      <c r="A270" s="304"/>
      <c r="B270" s="304"/>
      <c r="C270" s="304"/>
    </row>
    <row r="271" spans="1:3">
      <c r="A271" s="304"/>
      <c r="B271" s="304"/>
      <c r="C271" s="304"/>
    </row>
    <row r="272" spans="1:3">
      <c r="A272" s="304"/>
      <c r="B272" s="304"/>
      <c r="C272" s="304"/>
    </row>
    <row r="273" spans="1:3">
      <c r="A273" s="304"/>
      <c r="B273" s="304"/>
      <c r="C273" s="304"/>
    </row>
    <row r="274" spans="1:3">
      <c r="A274" s="304"/>
      <c r="B274" s="304"/>
      <c r="C274" s="304"/>
    </row>
    <row r="275" spans="1:3">
      <c r="A275" s="304"/>
      <c r="B275" s="304"/>
      <c r="C275" s="304"/>
    </row>
    <row r="276" spans="1:3">
      <c r="A276" s="304"/>
      <c r="B276" s="304"/>
      <c r="C276" s="304"/>
    </row>
    <row r="277" spans="1:3">
      <c r="A277" s="304"/>
      <c r="B277" s="304"/>
      <c r="C277" s="304"/>
    </row>
    <row r="278" spans="1:3">
      <c r="A278" s="304"/>
      <c r="B278" s="304"/>
      <c r="C278" s="304"/>
    </row>
    <row r="279" spans="1:3">
      <c r="A279" s="304"/>
      <c r="B279" s="304"/>
      <c r="C279" s="304"/>
    </row>
    <row r="280" spans="1:3">
      <c r="A280" s="304"/>
      <c r="B280" s="304"/>
      <c r="C280" s="304"/>
    </row>
    <row r="281" spans="1:3">
      <c r="A281" s="304"/>
      <c r="B281" s="304"/>
      <c r="C281" s="304"/>
    </row>
    <row r="282" spans="1:3">
      <c r="A282" s="304"/>
      <c r="B282" s="304"/>
      <c r="C282" s="304"/>
    </row>
    <row r="283" spans="1:3">
      <c r="A283" s="304"/>
      <c r="B283" s="304"/>
      <c r="C283" s="304"/>
    </row>
    <row r="284" spans="1:3">
      <c r="A284" s="304"/>
      <c r="B284" s="304"/>
      <c r="C284" s="304"/>
    </row>
    <row r="285" spans="1:3">
      <c r="A285" s="304"/>
      <c r="B285" s="304"/>
      <c r="C285" s="304"/>
    </row>
    <row r="286" spans="1:3">
      <c r="A286" s="304"/>
      <c r="B286" s="304"/>
      <c r="C286" s="304"/>
    </row>
    <row r="287" spans="1:3">
      <c r="A287" s="304"/>
      <c r="B287" s="304"/>
      <c r="C287" s="304"/>
    </row>
    <row r="288" spans="1:3">
      <c r="A288" s="304"/>
      <c r="B288" s="304"/>
      <c r="C288" s="304"/>
    </row>
    <row r="289" spans="1:3">
      <c r="A289" s="304"/>
      <c r="B289" s="304"/>
      <c r="C289" s="304"/>
    </row>
    <row r="290" spans="1:3">
      <c r="A290" s="306"/>
      <c r="B290" s="300"/>
      <c r="C290" s="307"/>
    </row>
    <row r="291" spans="1:3">
      <c r="A291" s="306"/>
      <c r="B291" s="300"/>
      <c r="C291" s="307"/>
    </row>
    <row r="292" spans="1:3">
      <c r="A292" s="306"/>
      <c r="B292" s="300"/>
      <c r="C292" s="307"/>
    </row>
    <row r="293" spans="1:3">
      <c r="A293" s="306"/>
      <c r="B293" s="300"/>
      <c r="C293" s="307"/>
    </row>
    <row r="294" spans="1:3">
      <c r="A294" s="306"/>
      <c r="B294" s="300"/>
      <c r="C294" s="307"/>
    </row>
    <row r="295" spans="1:3">
      <c r="A295" s="306"/>
      <c r="B295" s="300"/>
      <c r="C295" s="307"/>
    </row>
    <row r="296" spans="1:3">
      <c r="A296" s="306"/>
      <c r="B296" s="300"/>
      <c r="C296" s="307"/>
    </row>
    <row r="297" spans="1:3">
      <c r="A297" s="306"/>
      <c r="B297" s="300"/>
      <c r="C297" s="307"/>
    </row>
    <row r="298" spans="1:3">
      <c r="A298" s="306"/>
      <c r="B298" s="300"/>
      <c r="C298" s="307"/>
    </row>
    <row r="299" spans="1:3">
      <c r="A299" s="306"/>
      <c r="B299" s="300"/>
      <c r="C299" s="307"/>
    </row>
    <row r="300" spans="1:3">
      <c r="A300" s="306"/>
      <c r="B300" s="300"/>
      <c r="C300" s="307"/>
    </row>
    <row r="301" spans="1:3">
      <c r="A301" s="306"/>
      <c r="B301" s="300"/>
      <c r="C301" s="307"/>
    </row>
    <row r="302" spans="1:3">
      <c r="A302" s="306"/>
      <c r="B302" s="300"/>
      <c r="C302" s="307"/>
    </row>
    <row r="303" spans="1:3">
      <c r="A303" s="306"/>
      <c r="B303" s="300"/>
      <c r="C303" s="307"/>
    </row>
    <row r="304" spans="1:3">
      <c r="A304" s="306"/>
      <c r="B304" s="300"/>
      <c r="C304" s="307"/>
    </row>
    <row r="305" spans="1:3">
      <c r="A305" s="306"/>
      <c r="B305" s="300"/>
      <c r="C305" s="307"/>
    </row>
    <row r="306" spans="1:3">
      <c r="A306" s="306"/>
      <c r="B306" s="300"/>
      <c r="C306" s="307"/>
    </row>
    <row r="307" spans="1:3">
      <c r="A307" s="306"/>
      <c r="B307" s="300"/>
      <c r="C307" s="307"/>
    </row>
    <row r="308" spans="1:3">
      <c r="A308" s="306"/>
      <c r="B308" s="300"/>
      <c r="C308" s="307"/>
    </row>
    <row r="309" spans="1:3">
      <c r="A309" s="306"/>
      <c r="B309" s="300"/>
      <c r="C309" s="307"/>
    </row>
    <row r="310" spans="1:3">
      <c r="A310" s="306"/>
      <c r="B310" s="300"/>
      <c r="C310" s="307"/>
    </row>
    <row r="311" spans="1:3">
      <c r="A311" s="306"/>
      <c r="B311" s="300"/>
      <c r="C311" s="307"/>
    </row>
    <row r="312" spans="1:3">
      <c r="A312" s="306"/>
      <c r="B312" s="300"/>
      <c r="C312" s="307"/>
    </row>
    <row r="313" spans="1:3">
      <c r="A313" s="306"/>
      <c r="B313" s="300"/>
      <c r="C313" s="307"/>
    </row>
    <row r="314" spans="1:3">
      <c r="A314" s="306"/>
      <c r="B314" s="300"/>
      <c r="C314" s="307"/>
    </row>
    <row r="315" spans="1:3">
      <c r="A315" s="306"/>
      <c r="B315" s="300"/>
      <c r="C315" s="307"/>
    </row>
    <row r="316" spans="1:3">
      <c r="A316" s="306"/>
      <c r="B316" s="300"/>
      <c r="C316" s="307"/>
    </row>
    <row r="317" spans="1:3">
      <c r="A317" s="306"/>
      <c r="B317" s="300"/>
      <c r="C317" s="307"/>
    </row>
    <row r="318" spans="1:3">
      <c r="A318" s="306"/>
      <c r="B318" s="300"/>
      <c r="C318" s="307"/>
    </row>
    <row r="319" spans="1:3">
      <c r="A319" s="306"/>
      <c r="B319" s="300"/>
      <c r="C319" s="307"/>
    </row>
    <row r="320" spans="1:3">
      <c r="A320" s="306"/>
      <c r="B320" s="300"/>
      <c r="C320" s="307"/>
    </row>
    <row r="321" spans="1:3">
      <c r="A321" s="306"/>
      <c r="B321" s="300"/>
      <c r="C321" s="307"/>
    </row>
    <row r="322" spans="1:3">
      <c r="A322" s="306"/>
      <c r="B322" s="300"/>
      <c r="C322" s="307"/>
    </row>
    <row r="323" spans="1:3">
      <c r="A323" s="306"/>
      <c r="B323" s="300"/>
      <c r="C323" s="307"/>
    </row>
    <row r="324" spans="1:3">
      <c r="A324" s="306"/>
      <c r="B324" s="300"/>
      <c r="C324" s="307"/>
    </row>
    <row r="325" spans="1:3">
      <c r="A325" s="306"/>
      <c r="B325" s="300"/>
      <c r="C325" s="307"/>
    </row>
    <row r="326" spans="1:3">
      <c r="A326" s="306"/>
      <c r="B326" s="300"/>
      <c r="C326" s="307"/>
    </row>
    <row r="327" spans="1:3">
      <c r="A327" s="306"/>
      <c r="B327" s="300"/>
      <c r="C327" s="307"/>
    </row>
    <row r="328" spans="1:3">
      <c r="A328" s="306"/>
      <c r="B328" s="300"/>
      <c r="C328" s="307"/>
    </row>
    <row r="329" spans="1:3">
      <c r="A329" s="306"/>
      <c r="B329" s="300"/>
      <c r="C329" s="307"/>
    </row>
    <row r="330" spans="1:3">
      <c r="A330" s="306"/>
      <c r="B330" s="300"/>
      <c r="C330" s="307"/>
    </row>
    <row r="331" spans="1:3">
      <c r="A331" s="306"/>
      <c r="B331" s="300"/>
      <c r="C331" s="307"/>
    </row>
    <row r="332" spans="1:3">
      <c r="A332" s="306"/>
      <c r="B332" s="300"/>
      <c r="C332" s="307"/>
    </row>
    <row r="333" spans="1:3">
      <c r="A333" s="306"/>
      <c r="B333" s="300"/>
      <c r="C333" s="307"/>
    </row>
    <row r="334" spans="1:3">
      <c r="A334" s="306"/>
      <c r="B334" s="300"/>
      <c r="C334" s="307"/>
    </row>
    <row r="335" spans="1:3">
      <c r="A335" s="306"/>
      <c r="B335" s="300"/>
      <c r="C335" s="307"/>
    </row>
    <row r="336" spans="1:3">
      <c r="A336" s="306"/>
      <c r="B336" s="300"/>
      <c r="C336" s="307"/>
    </row>
    <row r="337" spans="1:3">
      <c r="A337" s="306"/>
      <c r="B337" s="300"/>
      <c r="C337" s="307"/>
    </row>
    <row r="338" spans="1:3">
      <c r="A338" s="306"/>
      <c r="B338" s="300"/>
      <c r="C338" s="307"/>
    </row>
    <row r="339" spans="1:3">
      <c r="A339" s="306"/>
      <c r="B339" s="300"/>
      <c r="C339" s="307"/>
    </row>
    <row r="340" spans="1:3">
      <c r="A340" s="306"/>
      <c r="B340" s="300"/>
      <c r="C340" s="307"/>
    </row>
    <row r="341" spans="1:3">
      <c r="A341" s="306"/>
      <c r="B341" s="300"/>
      <c r="C341" s="307"/>
    </row>
    <row r="342" spans="1:3">
      <c r="A342" s="306"/>
      <c r="B342" s="300"/>
      <c r="C342" s="307"/>
    </row>
    <row r="343" spans="1:3">
      <c r="A343" s="306"/>
      <c r="B343" s="300"/>
      <c r="C343" s="307"/>
    </row>
    <row r="344" spans="1:3">
      <c r="A344" s="306"/>
      <c r="B344" s="300"/>
      <c r="C344" s="307"/>
    </row>
    <row r="345" spans="1:3">
      <c r="A345" s="306"/>
      <c r="B345" s="300"/>
      <c r="C345" s="307"/>
    </row>
    <row r="346" spans="1:3">
      <c r="A346" s="306"/>
      <c r="B346" s="300"/>
      <c r="C346" s="307"/>
    </row>
    <row r="347" spans="1:3">
      <c r="A347" s="306"/>
      <c r="B347" s="300"/>
      <c r="C347" s="307"/>
    </row>
    <row r="348" spans="1:3">
      <c r="A348" s="306"/>
      <c r="B348" s="300"/>
      <c r="C348" s="307"/>
    </row>
    <row r="349" spans="1:3">
      <c r="A349" s="306"/>
      <c r="B349" s="300"/>
      <c r="C349" s="307"/>
    </row>
    <row r="350" spans="1:3">
      <c r="A350" s="306"/>
      <c r="B350" s="300"/>
      <c r="C350" s="307"/>
    </row>
    <row r="351" spans="1:3">
      <c r="A351" s="306"/>
      <c r="B351" s="300"/>
      <c r="C351" s="307"/>
    </row>
    <row r="352" spans="1:3">
      <c r="A352" s="306"/>
      <c r="B352" s="300"/>
      <c r="C352" s="307"/>
    </row>
    <row r="353" spans="1:3">
      <c r="A353" s="306"/>
      <c r="B353" s="300"/>
      <c r="C353" s="307"/>
    </row>
    <row r="354" spans="1:3">
      <c r="A354" s="306"/>
      <c r="B354" s="300"/>
      <c r="C354" s="307"/>
    </row>
    <row r="355" spans="1:3">
      <c r="A355" s="306"/>
      <c r="B355" s="300"/>
      <c r="C355" s="307"/>
    </row>
    <row r="356" spans="1:3">
      <c r="A356" s="306"/>
      <c r="B356" s="300"/>
      <c r="C356" s="307"/>
    </row>
    <row r="357" spans="1:3">
      <c r="A357" s="306"/>
      <c r="B357" s="300"/>
      <c r="C357" s="307"/>
    </row>
    <row r="358" spans="1:3">
      <c r="A358" s="306"/>
      <c r="B358" s="300"/>
      <c r="C358" s="307"/>
    </row>
    <row r="359" spans="1:3">
      <c r="A359" s="306"/>
      <c r="B359" s="300"/>
      <c r="C359" s="307"/>
    </row>
    <row r="360" spans="1:3">
      <c r="A360" s="306"/>
      <c r="B360" s="300"/>
      <c r="C360" s="307"/>
    </row>
    <row r="361" spans="1:3">
      <c r="A361" s="306"/>
      <c r="B361" s="300"/>
      <c r="C361" s="307"/>
    </row>
    <row r="362" spans="1:3">
      <c r="A362" s="306"/>
      <c r="B362" s="300"/>
      <c r="C362" s="307"/>
    </row>
    <row r="363" spans="1:3">
      <c r="A363" s="306"/>
      <c r="B363" s="300"/>
      <c r="C363" s="307"/>
    </row>
    <row r="364" spans="1:3">
      <c r="A364" s="306"/>
      <c r="B364" s="300"/>
      <c r="C364" s="307"/>
    </row>
    <row r="365" spans="1:3">
      <c r="A365" s="306"/>
      <c r="B365" s="300"/>
      <c r="C365" s="307"/>
    </row>
    <row r="366" spans="1:3">
      <c r="A366" s="306"/>
      <c r="B366" s="300"/>
      <c r="C366" s="307"/>
    </row>
    <row r="367" spans="1:3">
      <c r="A367" s="306"/>
      <c r="B367" s="300"/>
      <c r="C367" s="307"/>
    </row>
    <row r="368" spans="1:3">
      <c r="A368" s="306"/>
      <c r="B368" s="300"/>
      <c r="C368" s="307"/>
    </row>
    <row r="369" spans="1:3">
      <c r="A369" s="306"/>
      <c r="B369" s="300"/>
      <c r="C369" s="307"/>
    </row>
    <row r="370" spans="1:3">
      <c r="A370" s="306"/>
      <c r="B370" s="300"/>
      <c r="C370" s="307"/>
    </row>
    <row r="371" spans="1:3">
      <c r="A371" s="306"/>
      <c r="B371" s="300"/>
      <c r="C371" s="307"/>
    </row>
    <row r="372" spans="1:3">
      <c r="A372" s="306"/>
      <c r="B372" s="300"/>
      <c r="C372" s="307"/>
    </row>
    <row r="373" spans="1:3">
      <c r="A373" s="306"/>
      <c r="B373" s="300"/>
      <c r="C373" s="307"/>
    </row>
    <row r="374" spans="1:3">
      <c r="A374" s="306"/>
      <c r="B374" s="300"/>
      <c r="C374" s="307"/>
    </row>
    <row r="375" spans="1:3">
      <c r="A375" s="306"/>
      <c r="B375" s="300"/>
      <c r="C375" s="307"/>
    </row>
    <row r="376" spans="1:3">
      <c r="A376" s="306"/>
      <c r="B376" s="300"/>
      <c r="C376" s="307"/>
    </row>
    <row r="377" spans="1:3">
      <c r="A377" s="306"/>
      <c r="B377" s="300"/>
      <c r="C377" s="307"/>
    </row>
    <row r="378" spans="1:3">
      <c r="A378" s="306"/>
      <c r="B378" s="300"/>
      <c r="C378" s="307"/>
    </row>
    <row r="379" spans="1:3">
      <c r="A379" s="306"/>
      <c r="B379" s="300"/>
      <c r="C379" s="307"/>
    </row>
    <row r="380" spans="1:3">
      <c r="A380" s="306"/>
      <c r="B380" s="300"/>
      <c r="C380" s="307"/>
    </row>
    <row r="381" spans="1:3">
      <c r="A381" s="306"/>
      <c r="B381" s="300"/>
      <c r="C381" s="307"/>
    </row>
    <row r="382" spans="1:3">
      <c r="A382" s="306"/>
      <c r="B382" s="300"/>
      <c r="C382" s="307"/>
    </row>
    <row r="383" spans="1:3">
      <c r="A383" s="306"/>
      <c r="B383" s="300"/>
      <c r="C383" s="307"/>
    </row>
    <row r="384" spans="1:3">
      <c r="A384" s="306"/>
      <c r="B384" s="300"/>
      <c r="C384" s="307"/>
    </row>
    <row r="385" spans="1:3">
      <c r="A385" s="306"/>
      <c r="B385" s="300"/>
      <c r="C385" s="307"/>
    </row>
    <row r="386" spans="1:3">
      <c r="A386" s="306"/>
      <c r="B386" s="300"/>
      <c r="C386" s="307"/>
    </row>
    <row r="387" spans="1:3">
      <c r="A387" s="306"/>
      <c r="B387" s="300"/>
      <c r="C387" s="307"/>
    </row>
    <row r="388" spans="1:3">
      <c r="A388" s="306"/>
      <c r="B388" s="300"/>
      <c r="C388" s="307"/>
    </row>
    <row r="389" spans="1:3">
      <c r="A389" s="306"/>
      <c r="B389" s="300"/>
      <c r="C389" s="307"/>
    </row>
    <row r="390" spans="1:3">
      <c r="A390" s="306"/>
      <c r="B390" s="300"/>
      <c r="C390" s="307"/>
    </row>
    <row r="391" spans="1:3">
      <c r="A391" s="306"/>
      <c r="B391" s="300"/>
      <c r="C391" s="307"/>
    </row>
    <row r="392" spans="1:3">
      <c r="A392" s="306"/>
      <c r="B392" s="300"/>
      <c r="C392" s="307"/>
    </row>
    <row r="393" spans="1:3">
      <c r="A393" s="306"/>
      <c r="B393" s="300"/>
      <c r="C393" s="307"/>
    </row>
    <row r="394" spans="1:3">
      <c r="A394" s="306"/>
      <c r="B394" s="300"/>
      <c r="C394" s="307"/>
    </row>
    <row r="395" spans="1:3">
      <c r="A395" s="306"/>
      <c r="B395" s="300"/>
      <c r="C395" s="307"/>
    </row>
    <row r="396" spans="1:3">
      <c r="A396" s="306"/>
      <c r="B396" s="300"/>
      <c r="C396" s="307"/>
    </row>
    <row r="397" spans="1:3">
      <c r="A397" s="306"/>
      <c r="B397" s="300"/>
      <c r="C397" s="307"/>
    </row>
    <row r="398" spans="1:3">
      <c r="A398" s="306"/>
      <c r="B398" s="300"/>
      <c r="C398" s="307"/>
    </row>
    <row r="399" spans="1:3">
      <c r="A399" s="306"/>
      <c r="B399" s="300"/>
      <c r="C399" s="307"/>
    </row>
    <row r="400" spans="1:3">
      <c r="A400" s="306"/>
      <c r="B400" s="300"/>
      <c r="C400" s="307"/>
    </row>
    <row r="401" spans="1:3">
      <c r="A401" s="306"/>
      <c r="B401" s="300"/>
      <c r="C401" s="307"/>
    </row>
    <row r="402" spans="1:3">
      <c r="A402" s="306"/>
      <c r="B402" s="300"/>
      <c r="C402" s="307"/>
    </row>
    <row r="403" spans="1:3">
      <c r="A403" s="306"/>
      <c r="B403" s="300"/>
      <c r="C403" s="307"/>
    </row>
    <row r="404" spans="1:3">
      <c r="A404" s="306"/>
      <c r="B404" s="300"/>
      <c r="C404" s="307"/>
    </row>
    <row r="405" spans="1:3">
      <c r="A405" s="306"/>
      <c r="B405" s="300"/>
      <c r="C405" s="307"/>
    </row>
    <row r="406" spans="1:3">
      <c r="A406" s="306"/>
      <c r="B406" s="300"/>
      <c r="C406" s="307"/>
    </row>
    <row r="407" spans="1:3">
      <c r="A407" s="306"/>
      <c r="B407" s="300"/>
      <c r="C407" s="307"/>
    </row>
    <row r="408" spans="1:3">
      <c r="A408" s="306"/>
      <c r="B408" s="300"/>
      <c r="C408" s="307"/>
    </row>
    <row r="409" spans="1:3">
      <c r="A409" s="306"/>
      <c r="B409" s="300"/>
      <c r="C409" s="307"/>
    </row>
    <row r="410" spans="1:3">
      <c r="A410" s="306"/>
      <c r="B410" s="300"/>
      <c r="C410" s="307"/>
    </row>
    <row r="411" spans="1:3">
      <c r="A411" s="306"/>
      <c r="B411" s="300"/>
      <c r="C411" s="307"/>
    </row>
    <row r="412" spans="1:3">
      <c r="A412" s="306"/>
      <c r="B412" s="300"/>
      <c r="C412" s="307"/>
    </row>
    <row r="413" spans="1:3">
      <c r="A413" s="306"/>
      <c r="B413" s="300"/>
      <c r="C413" s="307"/>
    </row>
    <row r="414" spans="1:3">
      <c r="A414" s="306"/>
      <c r="B414" s="300"/>
      <c r="C414" s="307"/>
    </row>
    <row r="415" spans="1:3">
      <c r="A415" s="306"/>
      <c r="B415" s="300"/>
      <c r="C415" s="307"/>
    </row>
    <row r="416" spans="1:3">
      <c r="A416" s="306"/>
      <c r="B416" s="300"/>
      <c r="C416" s="307"/>
    </row>
    <row r="417" spans="1:3">
      <c r="A417" s="306"/>
      <c r="B417" s="300"/>
      <c r="C417" s="307"/>
    </row>
    <row r="418" spans="1:3">
      <c r="A418" s="306"/>
      <c r="B418" s="300"/>
      <c r="C418" s="307"/>
    </row>
    <row r="419" spans="1:3">
      <c r="A419" s="306"/>
      <c r="B419" s="300"/>
      <c r="C419" s="307"/>
    </row>
    <row r="420" spans="1:3">
      <c r="A420" s="306"/>
      <c r="B420" s="300"/>
      <c r="C420" s="307"/>
    </row>
    <row r="421" spans="1:3">
      <c r="A421" s="306"/>
      <c r="B421" s="300"/>
      <c r="C421" s="307"/>
    </row>
    <row r="422" spans="1:3">
      <c r="A422" s="306"/>
      <c r="B422" s="300"/>
      <c r="C422" s="307"/>
    </row>
    <row r="423" spans="1:3">
      <c r="A423" s="306"/>
      <c r="B423" s="300"/>
      <c r="C423" s="307"/>
    </row>
    <row r="424" spans="1:3">
      <c r="A424" s="306"/>
      <c r="B424" s="300"/>
      <c r="C424" s="307"/>
    </row>
    <row r="425" spans="1:3">
      <c r="A425" s="306"/>
      <c r="B425" s="300"/>
      <c r="C425" s="307"/>
    </row>
    <row r="426" spans="1:3">
      <c r="A426" s="306"/>
      <c r="B426" s="300"/>
      <c r="C426" s="307"/>
    </row>
    <row r="427" spans="1:3">
      <c r="A427" s="306"/>
      <c r="B427" s="300"/>
      <c r="C427" s="307"/>
    </row>
    <row r="428" spans="1:3">
      <c r="A428" s="306"/>
      <c r="B428" s="300"/>
      <c r="C428" s="307"/>
    </row>
    <row r="429" spans="1:3">
      <c r="A429" s="306"/>
      <c r="B429" s="300"/>
      <c r="C429" s="307"/>
    </row>
    <row r="430" spans="1:3">
      <c r="A430" s="306"/>
      <c r="B430" s="300"/>
      <c r="C430" s="307"/>
    </row>
    <row r="431" spans="1:3">
      <c r="A431" s="306"/>
      <c r="B431" s="300"/>
      <c r="C431" s="307"/>
    </row>
    <row r="432" spans="1:3">
      <c r="A432" s="306"/>
      <c r="B432" s="300"/>
      <c r="C432" s="307"/>
    </row>
    <row r="433" spans="1:3">
      <c r="A433" s="306"/>
      <c r="B433" s="300"/>
      <c r="C433" s="307"/>
    </row>
    <row r="434" spans="1:3">
      <c r="A434" s="306"/>
      <c r="B434" s="300"/>
      <c r="C434" s="307"/>
    </row>
    <row r="435" spans="1:3">
      <c r="A435" s="306"/>
      <c r="B435" s="300"/>
      <c r="C435" s="307"/>
    </row>
    <row r="436" spans="1:3">
      <c r="A436" s="306"/>
      <c r="B436" s="300"/>
      <c r="C436" s="307"/>
    </row>
    <row r="437" spans="1:3">
      <c r="A437" s="306"/>
      <c r="B437" s="300"/>
      <c r="C437" s="307"/>
    </row>
    <row r="438" spans="1:3">
      <c r="A438" s="306"/>
      <c r="B438" s="300"/>
      <c r="C438" s="307"/>
    </row>
    <row r="439" spans="1:3">
      <c r="A439" s="306"/>
      <c r="B439" s="300"/>
      <c r="C439" s="307"/>
    </row>
    <row r="440" spans="1:3">
      <c r="A440" s="306"/>
      <c r="B440" s="300"/>
      <c r="C440" s="307"/>
    </row>
    <row r="441" spans="1:3">
      <c r="A441" s="306"/>
      <c r="B441" s="300"/>
      <c r="C441" s="307"/>
    </row>
    <row r="442" spans="1:3">
      <c r="A442" s="306"/>
      <c r="B442" s="300"/>
      <c r="C442" s="307"/>
    </row>
    <row r="443" spans="1:3">
      <c r="A443" s="306"/>
      <c r="B443" s="300"/>
      <c r="C443" s="307"/>
    </row>
    <row r="444" spans="1:3">
      <c r="A444" s="306"/>
      <c r="B444" s="300"/>
      <c r="C444" s="307"/>
    </row>
    <row r="445" spans="1:3">
      <c r="A445" s="306"/>
      <c r="B445" s="300"/>
      <c r="C445" s="307"/>
    </row>
    <row r="446" spans="1:3">
      <c r="A446" s="306"/>
      <c r="B446" s="300"/>
      <c r="C446" s="307"/>
    </row>
    <row r="447" spans="1:3">
      <c r="A447" s="306"/>
      <c r="B447" s="300"/>
      <c r="C447" s="307"/>
    </row>
    <row r="448" spans="1:3">
      <c r="A448" s="306"/>
      <c r="B448" s="300"/>
      <c r="C448" s="307"/>
    </row>
    <row r="449" spans="1:3">
      <c r="A449" s="306"/>
      <c r="B449" s="300"/>
      <c r="C449" s="307"/>
    </row>
    <row r="450" spans="1:3">
      <c r="A450" s="306"/>
      <c r="B450" s="300"/>
      <c r="C450" s="307"/>
    </row>
    <row r="451" spans="1:3">
      <c r="A451" s="306"/>
      <c r="B451" s="300"/>
      <c r="C451" s="307"/>
    </row>
    <row r="452" spans="1:3">
      <c r="A452" s="306"/>
      <c r="B452" s="300"/>
      <c r="C452" s="307"/>
    </row>
    <row r="453" spans="1:3">
      <c r="A453" s="306"/>
      <c r="B453" s="300"/>
      <c r="C453" s="307"/>
    </row>
    <row r="454" spans="1:3">
      <c r="A454" s="306"/>
      <c r="B454" s="300"/>
      <c r="C454" s="307"/>
    </row>
    <row r="455" spans="1:3">
      <c r="A455" s="306"/>
      <c r="B455" s="300"/>
      <c r="C455" s="307"/>
    </row>
    <row r="456" spans="1:3">
      <c r="A456" s="306"/>
      <c r="B456" s="300"/>
      <c r="C456" s="307"/>
    </row>
    <row r="457" spans="1:3">
      <c r="A457" s="306"/>
      <c r="B457" s="300"/>
      <c r="C457" s="307"/>
    </row>
    <row r="458" spans="1:3">
      <c r="A458" s="306"/>
      <c r="B458" s="300"/>
      <c r="C458" s="307"/>
    </row>
    <row r="459" spans="1:3">
      <c r="A459" s="306"/>
      <c r="B459" s="300"/>
      <c r="C459" s="307"/>
    </row>
    <row r="460" spans="1:3">
      <c r="A460" s="306"/>
      <c r="B460" s="300"/>
      <c r="C460" s="307"/>
    </row>
    <row r="461" spans="1:3">
      <c r="A461" s="306"/>
      <c r="B461" s="300"/>
      <c r="C461" s="307"/>
    </row>
    <row r="462" spans="1:3">
      <c r="A462" s="306"/>
      <c r="B462" s="300"/>
      <c r="C462" s="307"/>
    </row>
    <row r="463" spans="1:3">
      <c r="A463" s="306"/>
      <c r="B463" s="300"/>
      <c r="C463" s="307"/>
    </row>
    <row r="464" spans="1:3">
      <c r="A464" s="306"/>
      <c r="B464" s="300"/>
      <c r="C464" s="307"/>
    </row>
    <row r="465" spans="1:3">
      <c r="A465" s="306"/>
      <c r="B465" s="300"/>
      <c r="C465" s="307"/>
    </row>
    <row r="466" spans="1:3">
      <c r="A466" s="306"/>
      <c r="B466" s="300"/>
      <c r="C466" s="307"/>
    </row>
    <row r="467" spans="1:3">
      <c r="A467" s="306"/>
      <c r="B467" s="300"/>
      <c r="C467" s="307"/>
    </row>
    <row r="468" spans="1:3">
      <c r="A468" s="306"/>
      <c r="B468" s="300"/>
      <c r="C468" s="307"/>
    </row>
    <row r="469" spans="1:3">
      <c r="A469" s="306"/>
      <c r="B469" s="300"/>
      <c r="C469" s="307"/>
    </row>
    <row r="470" spans="1:3">
      <c r="A470" s="306"/>
      <c r="B470" s="300"/>
      <c r="C470" s="307"/>
    </row>
    <row r="471" spans="1:3">
      <c r="A471" s="306"/>
      <c r="B471" s="300"/>
      <c r="C471" s="307"/>
    </row>
    <row r="472" spans="1:3">
      <c r="A472" s="306"/>
      <c r="B472" s="300"/>
      <c r="C472" s="307"/>
    </row>
    <row r="473" spans="1:3">
      <c r="A473" s="306"/>
      <c r="B473" s="300"/>
      <c r="C473" s="307"/>
    </row>
    <row r="474" spans="1:3">
      <c r="A474" s="306"/>
      <c r="B474" s="300"/>
      <c r="C474" s="307"/>
    </row>
    <row r="475" spans="1:3">
      <c r="A475" s="306"/>
      <c r="B475" s="300"/>
      <c r="C475" s="307"/>
    </row>
    <row r="476" spans="1:3">
      <c r="A476" s="306"/>
      <c r="B476" s="300"/>
      <c r="C476" s="307"/>
    </row>
    <row r="477" spans="1:3">
      <c r="A477" s="306"/>
      <c r="B477" s="300"/>
      <c r="C477" s="307"/>
    </row>
    <row r="478" spans="1:3">
      <c r="A478" s="306"/>
      <c r="B478" s="300"/>
      <c r="C478" s="307"/>
    </row>
    <row r="479" spans="1:3">
      <c r="A479" s="306"/>
      <c r="B479" s="300"/>
      <c r="C479" s="307"/>
    </row>
    <row r="480" spans="1:3">
      <c r="A480" s="306"/>
      <c r="B480" s="300"/>
      <c r="C480" s="307"/>
    </row>
    <row r="481" spans="1:3">
      <c r="A481" s="306"/>
      <c r="B481" s="300"/>
      <c r="C481" s="307"/>
    </row>
    <row r="482" spans="1:3">
      <c r="A482" s="306"/>
      <c r="B482" s="300"/>
      <c r="C482" s="307"/>
    </row>
    <row r="483" spans="1:3">
      <c r="A483" s="306"/>
      <c r="B483" s="300"/>
      <c r="C483" s="307"/>
    </row>
    <row r="484" spans="1:3">
      <c r="A484" s="306"/>
      <c r="B484" s="300"/>
      <c r="C484" s="307"/>
    </row>
    <row r="485" spans="1:3">
      <c r="A485" s="306"/>
      <c r="B485" s="300"/>
      <c r="C485" s="307"/>
    </row>
    <row r="486" spans="1:3">
      <c r="A486" s="306"/>
      <c r="B486" s="300"/>
      <c r="C486" s="307"/>
    </row>
    <row r="487" spans="1:3">
      <c r="A487" s="306"/>
      <c r="B487" s="300"/>
      <c r="C487" s="307"/>
    </row>
    <row r="488" spans="1:3">
      <c r="A488" s="306"/>
      <c r="B488" s="300"/>
      <c r="C488" s="307"/>
    </row>
    <row r="489" spans="1:3">
      <c r="A489" s="306"/>
      <c r="B489" s="300"/>
      <c r="C489" s="307"/>
    </row>
    <row r="490" spans="1:3">
      <c r="A490" s="306"/>
      <c r="B490" s="300"/>
      <c r="C490" s="307"/>
    </row>
    <row r="491" spans="1:3">
      <c r="A491" s="306"/>
      <c r="B491" s="300"/>
      <c r="C491" s="307"/>
    </row>
    <row r="492" spans="1:3">
      <c r="A492" s="306"/>
      <c r="B492" s="300"/>
      <c r="C492" s="307"/>
    </row>
    <row r="493" spans="1:3">
      <c r="A493" s="306"/>
      <c r="B493" s="300"/>
      <c r="C493" s="307"/>
    </row>
    <row r="494" spans="1:3">
      <c r="A494" s="306"/>
      <c r="B494" s="300"/>
      <c r="C494" s="307"/>
    </row>
    <row r="495" spans="1:3">
      <c r="A495" s="306"/>
      <c r="B495" s="300"/>
      <c r="C495" s="307"/>
    </row>
    <row r="496" spans="1:3">
      <c r="A496" s="306"/>
      <c r="B496" s="300"/>
      <c r="C496" s="307"/>
    </row>
    <row r="497" spans="1:3">
      <c r="A497" s="306"/>
      <c r="B497" s="300"/>
      <c r="C497" s="307"/>
    </row>
    <row r="498" spans="1:3">
      <c r="A498" s="306"/>
      <c r="B498" s="300"/>
      <c r="C498" s="307"/>
    </row>
    <row r="499" spans="1:3">
      <c r="A499" s="306"/>
      <c r="B499" s="300"/>
      <c r="C499" s="307"/>
    </row>
    <row r="500" spans="1:3">
      <c r="A500" s="306"/>
      <c r="B500" s="300"/>
      <c r="C500" s="307"/>
    </row>
    <row r="501" spans="1:3">
      <c r="A501" s="306"/>
      <c r="B501" s="300"/>
      <c r="C501" s="307"/>
    </row>
    <row r="502" spans="1:3">
      <c r="A502" s="306"/>
      <c r="B502" s="300"/>
      <c r="C502" s="307"/>
    </row>
    <row r="503" spans="1:3">
      <c r="A503" s="306"/>
      <c r="B503" s="300"/>
      <c r="C503" s="307"/>
    </row>
    <row r="504" spans="1:3">
      <c r="A504" s="306"/>
      <c r="B504" s="300"/>
      <c r="C504" s="307"/>
    </row>
    <row r="505" spans="1:3">
      <c r="A505" s="306"/>
      <c r="B505" s="300"/>
      <c r="C505" s="307"/>
    </row>
    <row r="506" spans="1:3">
      <c r="A506" s="306"/>
      <c r="B506" s="300"/>
      <c r="C506" s="307"/>
    </row>
    <row r="507" spans="1:3">
      <c r="A507" s="306"/>
      <c r="B507" s="300"/>
      <c r="C507" s="307"/>
    </row>
    <row r="508" spans="1:3">
      <c r="A508" s="306"/>
      <c r="B508" s="300"/>
      <c r="C508" s="307"/>
    </row>
    <row r="509" spans="1:3">
      <c r="A509" s="306"/>
      <c r="B509" s="300"/>
      <c r="C509" s="307"/>
    </row>
    <row r="510" spans="1:3">
      <c r="A510" s="306"/>
      <c r="B510" s="300"/>
      <c r="C510" s="307"/>
    </row>
    <row r="511" spans="1:3">
      <c r="A511" s="306"/>
      <c r="B511" s="300"/>
      <c r="C511" s="307"/>
    </row>
    <row r="512" spans="1:3">
      <c r="A512" s="306"/>
      <c r="B512" s="300"/>
      <c r="C512" s="307"/>
    </row>
    <row r="513" spans="1:3">
      <c r="A513" s="306"/>
      <c r="B513" s="300"/>
      <c r="C513" s="307"/>
    </row>
    <row r="514" spans="1:3">
      <c r="A514" s="306"/>
      <c r="B514" s="300"/>
      <c r="C514" s="307"/>
    </row>
    <row r="515" spans="1:3">
      <c r="A515" s="306"/>
      <c r="B515" s="300"/>
      <c r="C515" s="307"/>
    </row>
    <row r="516" spans="1:3">
      <c r="A516" s="306"/>
      <c r="B516" s="300"/>
      <c r="C516" s="307"/>
    </row>
    <row r="517" spans="1:3">
      <c r="A517" s="306"/>
      <c r="B517" s="300"/>
      <c r="C517" s="307"/>
    </row>
    <row r="518" spans="1:3">
      <c r="A518" s="306"/>
      <c r="B518" s="300"/>
      <c r="C518" s="307"/>
    </row>
    <row r="519" spans="1:3">
      <c r="A519" s="306"/>
      <c r="B519" s="300"/>
      <c r="C519" s="307"/>
    </row>
    <row r="520" spans="1:3">
      <c r="A520" s="306"/>
      <c r="B520" s="300"/>
      <c r="C520" s="307"/>
    </row>
    <row r="521" spans="1:3">
      <c r="A521" s="306"/>
      <c r="B521" s="300"/>
      <c r="C521" s="307"/>
    </row>
    <row r="522" spans="1:3">
      <c r="A522" s="306"/>
      <c r="B522" s="300"/>
      <c r="C522" s="307"/>
    </row>
    <row r="523" spans="1:3">
      <c r="A523" s="306"/>
      <c r="B523" s="300"/>
      <c r="C523" s="307"/>
    </row>
    <row r="524" spans="1:3">
      <c r="A524" s="306"/>
      <c r="B524" s="300"/>
      <c r="C524" s="307"/>
    </row>
    <row r="525" spans="1:3">
      <c r="A525" s="306"/>
      <c r="B525" s="300"/>
      <c r="C525" s="307"/>
    </row>
    <row r="526" spans="1:3">
      <c r="A526" s="306"/>
      <c r="B526" s="300"/>
      <c r="C526" s="307"/>
    </row>
    <row r="527" spans="1:3">
      <c r="A527" s="306"/>
      <c r="B527" s="300"/>
      <c r="C527" s="307"/>
    </row>
    <row r="528" spans="1:3">
      <c r="A528" s="306"/>
      <c r="B528" s="300"/>
      <c r="C528" s="307"/>
    </row>
    <row r="529" spans="1:3">
      <c r="A529" s="306"/>
      <c r="B529" s="300"/>
      <c r="C529" s="307"/>
    </row>
    <row r="530" spans="1:3">
      <c r="A530" s="306"/>
      <c r="B530" s="300"/>
      <c r="C530" s="307"/>
    </row>
    <row r="531" spans="1:3">
      <c r="A531" s="306"/>
      <c r="B531" s="300"/>
      <c r="C531" s="307"/>
    </row>
    <row r="532" spans="1:3">
      <c r="A532" s="306"/>
      <c r="B532" s="300"/>
      <c r="C532" s="307"/>
    </row>
    <row r="533" spans="1:3">
      <c r="A533" s="306"/>
      <c r="B533" s="300"/>
      <c r="C533" s="307"/>
    </row>
    <row r="534" spans="1:3">
      <c r="A534" s="306"/>
      <c r="B534" s="300"/>
      <c r="C534" s="307"/>
    </row>
    <row r="535" spans="1:3">
      <c r="A535" s="306"/>
      <c r="B535" s="300"/>
      <c r="C535" s="307"/>
    </row>
    <row r="536" spans="1:3">
      <c r="A536" s="306"/>
      <c r="B536" s="300"/>
      <c r="C536" s="307"/>
    </row>
    <row r="537" spans="1:3">
      <c r="A537" s="306"/>
      <c r="B537" s="300"/>
      <c r="C537" s="307"/>
    </row>
    <row r="538" spans="1:3">
      <c r="A538" s="306"/>
      <c r="B538" s="300"/>
      <c r="C538" s="307"/>
    </row>
    <row r="539" spans="1:3">
      <c r="A539" s="306"/>
      <c r="B539" s="300"/>
      <c r="C539" s="307"/>
    </row>
    <row r="540" spans="1:3">
      <c r="A540" s="306"/>
      <c r="B540" s="300"/>
      <c r="C540" s="307"/>
    </row>
    <row r="541" spans="1:3">
      <c r="A541" s="306"/>
      <c r="B541" s="300"/>
      <c r="C541" s="307"/>
    </row>
    <row r="542" spans="1:3">
      <c r="A542" s="306"/>
      <c r="B542" s="300"/>
      <c r="C542" s="307"/>
    </row>
    <row r="543" spans="1:3">
      <c r="A543" s="306"/>
      <c r="B543" s="300"/>
      <c r="C543" s="307"/>
    </row>
    <row r="544" spans="1:3">
      <c r="A544" s="306"/>
      <c r="B544" s="300"/>
      <c r="C544" s="307"/>
    </row>
    <row r="545" spans="1:3">
      <c r="A545" s="306"/>
      <c r="B545" s="300"/>
      <c r="C545" s="307"/>
    </row>
    <row r="546" spans="1:3">
      <c r="A546" s="306"/>
      <c r="B546" s="300"/>
      <c r="C546" s="307"/>
    </row>
    <row r="547" spans="1:3">
      <c r="A547" s="306"/>
      <c r="B547" s="300"/>
      <c r="C547" s="307"/>
    </row>
    <row r="548" spans="1:3">
      <c r="A548" s="306"/>
      <c r="B548" s="300"/>
      <c r="C548" s="307"/>
    </row>
    <row r="549" spans="1:3">
      <c r="A549" s="306"/>
      <c r="B549" s="300"/>
      <c r="C549" s="307"/>
    </row>
    <row r="550" spans="1:3">
      <c r="A550" s="306"/>
      <c r="B550" s="300"/>
      <c r="C550" s="307"/>
    </row>
    <row r="551" spans="1:3">
      <c r="A551" s="306"/>
      <c r="B551" s="300"/>
      <c r="C551" s="307"/>
    </row>
    <row r="552" spans="1:3">
      <c r="A552" s="306"/>
      <c r="B552" s="300"/>
      <c r="C552" s="307"/>
    </row>
    <row r="553" spans="1:3">
      <c r="A553" s="306"/>
      <c r="B553" s="300"/>
      <c r="C553" s="307"/>
    </row>
    <row r="554" spans="1:3">
      <c r="A554" s="306"/>
      <c r="B554" s="300"/>
      <c r="C554" s="307"/>
    </row>
    <row r="555" spans="1:3">
      <c r="A555" s="306"/>
      <c r="B555" s="300"/>
      <c r="C555" s="307"/>
    </row>
    <row r="556" spans="1:3">
      <c r="A556" s="306"/>
      <c r="B556" s="300"/>
      <c r="C556" s="307"/>
    </row>
    <row r="557" spans="1:3">
      <c r="A557" s="306"/>
      <c r="B557" s="300"/>
      <c r="C557" s="307"/>
    </row>
    <row r="558" spans="1:3">
      <c r="A558" s="306"/>
      <c r="B558" s="300"/>
      <c r="C558" s="307"/>
    </row>
    <row r="559" spans="1:3">
      <c r="A559" s="306"/>
      <c r="B559" s="300"/>
      <c r="C559" s="307"/>
    </row>
    <row r="560" spans="1:3">
      <c r="A560" s="306"/>
      <c r="B560" s="300"/>
      <c r="C560" s="307"/>
    </row>
    <row r="561" spans="1:3">
      <c r="A561" s="306"/>
      <c r="B561" s="300"/>
      <c r="C561" s="307"/>
    </row>
    <row r="562" spans="1:3">
      <c r="A562" s="306"/>
      <c r="B562" s="300"/>
      <c r="C562" s="307"/>
    </row>
    <row r="563" spans="1:3">
      <c r="A563" s="306"/>
      <c r="B563" s="300"/>
      <c r="C563" s="307"/>
    </row>
    <row r="564" spans="1:3">
      <c r="A564" s="306"/>
      <c r="B564" s="300"/>
      <c r="C564" s="307"/>
    </row>
    <row r="565" spans="1:3">
      <c r="A565" s="306"/>
      <c r="B565" s="300"/>
      <c r="C565" s="307"/>
    </row>
    <row r="566" spans="1:3">
      <c r="A566" s="306"/>
      <c r="B566" s="300"/>
      <c r="C566" s="307"/>
    </row>
    <row r="567" spans="1:3">
      <c r="A567" s="306"/>
      <c r="B567" s="300"/>
      <c r="C567" s="307"/>
    </row>
    <row r="568" spans="1:3">
      <c r="A568" s="306"/>
      <c r="B568" s="300"/>
      <c r="C568" s="307"/>
    </row>
    <row r="569" spans="1:3">
      <c r="A569" s="306"/>
      <c r="B569" s="300"/>
      <c r="C569" s="307"/>
    </row>
    <row r="570" spans="1:3">
      <c r="A570" s="306"/>
      <c r="B570" s="300"/>
      <c r="C570" s="307"/>
    </row>
    <row r="571" spans="1:3">
      <c r="A571" s="306"/>
      <c r="B571" s="300"/>
      <c r="C571" s="307"/>
    </row>
    <row r="572" spans="1:3">
      <c r="A572" s="306"/>
      <c r="B572" s="300"/>
      <c r="C572" s="307"/>
    </row>
    <row r="573" spans="1:3">
      <c r="A573" s="306"/>
      <c r="B573" s="300"/>
      <c r="C573" s="307"/>
    </row>
    <row r="574" spans="1:3">
      <c r="A574" s="306"/>
      <c r="B574" s="300"/>
      <c r="C574" s="307"/>
    </row>
    <row r="575" spans="1:3">
      <c r="A575" s="306"/>
      <c r="B575" s="300"/>
      <c r="C575" s="307"/>
    </row>
    <row r="576" spans="1:3">
      <c r="A576" s="306"/>
      <c r="B576" s="300"/>
      <c r="C576" s="307"/>
    </row>
    <row r="577" spans="1:3">
      <c r="A577" s="306"/>
      <c r="B577" s="300"/>
      <c r="C577" s="307"/>
    </row>
    <row r="578" spans="1:3">
      <c r="A578" s="306"/>
      <c r="B578" s="300"/>
      <c r="C578" s="307"/>
    </row>
    <row r="579" spans="1:3">
      <c r="A579" s="306"/>
      <c r="B579" s="300"/>
      <c r="C579" s="307"/>
    </row>
    <row r="580" spans="1:3">
      <c r="A580" s="306"/>
      <c r="B580" s="300"/>
      <c r="C580" s="307"/>
    </row>
    <row r="581" spans="1:3">
      <c r="A581" s="306"/>
      <c r="B581" s="300"/>
      <c r="C581" s="307"/>
    </row>
    <row r="582" spans="1:3">
      <c r="A582" s="306"/>
      <c r="B582" s="300"/>
      <c r="C582" s="307"/>
    </row>
    <row r="583" spans="1:3">
      <c r="A583" s="306"/>
      <c r="B583" s="300"/>
      <c r="C583" s="307"/>
    </row>
    <row r="584" spans="1:3">
      <c r="A584" s="306"/>
      <c r="B584" s="300"/>
      <c r="C584" s="307"/>
    </row>
    <row r="585" spans="1:3">
      <c r="A585" s="306"/>
      <c r="B585" s="300"/>
      <c r="C585" s="307"/>
    </row>
    <row r="586" spans="1:3">
      <c r="A586" s="306"/>
      <c r="B586" s="300"/>
      <c r="C586" s="307"/>
    </row>
    <row r="587" spans="1:3">
      <c r="A587" s="306"/>
      <c r="B587" s="300"/>
      <c r="C587" s="307"/>
    </row>
    <row r="588" spans="1:3">
      <c r="A588" s="306"/>
      <c r="B588" s="300"/>
      <c r="C588" s="307"/>
    </row>
    <row r="589" spans="1:3">
      <c r="A589" s="306"/>
      <c r="B589" s="300"/>
      <c r="C589" s="307"/>
    </row>
    <row r="590" spans="1:3">
      <c r="A590" s="306"/>
      <c r="B590" s="300"/>
      <c r="C590" s="307"/>
    </row>
    <row r="591" spans="1:3">
      <c r="A591" s="306"/>
      <c r="B591" s="300"/>
      <c r="C591" s="307"/>
    </row>
    <row r="592" spans="1:3">
      <c r="A592" s="306"/>
      <c r="B592" s="300"/>
      <c r="C592" s="307"/>
    </row>
    <row r="593" spans="1:3">
      <c r="A593" s="306"/>
      <c r="B593" s="300"/>
      <c r="C593" s="307"/>
    </row>
    <row r="594" spans="1:3">
      <c r="A594" s="306"/>
      <c r="B594" s="300"/>
      <c r="C594" s="307"/>
    </row>
    <row r="595" spans="1:3">
      <c r="A595" s="306"/>
      <c r="B595" s="300"/>
      <c r="C595" s="307"/>
    </row>
    <row r="596" spans="1:3">
      <c r="A596" s="306"/>
      <c r="B596" s="300"/>
      <c r="C596" s="307"/>
    </row>
    <row r="597" spans="1:3">
      <c r="A597" s="306"/>
      <c r="B597" s="300"/>
      <c r="C597" s="307"/>
    </row>
    <row r="598" spans="1:3">
      <c r="A598" s="306"/>
      <c r="B598" s="300"/>
      <c r="C598" s="307"/>
    </row>
    <row r="599" spans="1:3">
      <c r="A599" s="306"/>
      <c r="B599" s="300"/>
      <c r="C599" s="307"/>
    </row>
    <row r="600" spans="1:3">
      <c r="A600" s="306"/>
      <c r="B600" s="300"/>
      <c r="C600" s="307"/>
    </row>
    <row r="601" spans="1:3">
      <c r="A601" s="306"/>
      <c r="B601" s="300"/>
      <c r="C601" s="307"/>
    </row>
    <row r="602" spans="1:3">
      <c r="A602" s="306"/>
      <c r="B602" s="300"/>
      <c r="C602" s="307"/>
    </row>
    <row r="603" spans="1:3">
      <c r="A603" s="306"/>
      <c r="B603" s="300"/>
      <c r="C603" s="307"/>
    </row>
    <row r="604" spans="1:3">
      <c r="A604" s="306"/>
      <c r="B604" s="300"/>
      <c r="C604" s="307"/>
    </row>
    <row r="605" spans="1:3">
      <c r="A605" s="306"/>
      <c r="B605" s="300"/>
      <c r="C605" s="307"/>
    </row>
    <row r="606" spans="1:3">
      <c r="A606" s="306"/>
      <c r="B606" s="300"/>
      <c r="C606" s="307"/>
    </row>
    <row r="607" spans="1:3">
      <c r="A607" s="306"/>
      <c r="B607" s="300"/>
      <c r="C607" s="307"/>
    </row>
    <row r="608" spans="1:3">
      <c r="A608" s="306"/>
      <c r="B608" s="300"/>
      <c r="C608" s="307"/>
    </row>
    <row r="609" spans="1:3">
      <c r="A609" s="306"/>
      <c r="B609" s="300"/>
      <c r="C609" s="307"/>
    </row>
    <row r="610" spans="1:3">
      <c r="A610" s="306"/>
      <c r="B610" s="300"/>
      <c r="C610" s="307"/>
    </row>
    <row r="611" spans="1:3">
      <c r="A611" s="306"/>
      <c r="B611" s="300"/>
      <c r="C611" s="307"/>
    </row>
    <row r="612" spans="1:3">
      <c r="A612" s="306"/>
      <c r="B612" s="300"/>
      <c r="C612" s="307"/>
    </row>
    <row r="613" spans="1:3">
      <c r="A613" s="306"/>
      <c r="B613" s="300"/>
      <c r="C613" s="307"/>
    </row>
    <row r="614" spans="1:3">
      <c r="A614" s="306"/>
      <c r="B614" s="300"/>
      <c r="C614" s="307"/>
    </row>
    <row r="615" spans="1:3">
      <c r="A615" s="306"/>
      <c r="B615" s="300"/>
      <c r="C615" s="307"/>
    </row>
    <row r="616" spans="1:3">
      <c r="A616" s="306"/>
      <c r="B616" s="300"/>
      <c r="C616" s="307"/>
    </row>
    <row r="617" spans="1:3">
      <c r="A617" s="306"/>
      <c r="B617" s="300"/>
      <c r="C617" s="307"/>
    </row>
    <row r="618" spans="1:3">
      <c r="A618" s="306"/>
      <c r="B618" s="300"/>
      <c r="C618" s="307"/>
    </row>
    <row r="619" spans="1:3">
      <c r="A619" s="306"/>
      <c r="B619" s="300"/>
      <c r="C619" s="307"/>
    </row>
    <row r="620" spans="1:3">
      <c r="A620" s="306"/>
      <c r="B620" s="300"/>
      <c r="C620" s="307"/>
    </row>
    <row r="621" spans="1:3">
      <c r="A621" s="306"/>
      <c r="B621" s="300"/>
      <c r="C621" s="307"/>
    </row>
    <row r="622" spans="1:3">
      <c r="A622" s="306"/>
      <c r="B622" s="300"/>
      <c r="C622" s="307"/>
    </row>
    <row r="623" spans="1:3">
      <c r="A623" s="306"/>
      <c r="B623" s="300"/>
      <c r="C623" s="307"/>
    </row>
    <row r="624" spans="1:3">
      <c r="A624" s="306"/>
      <c r="B624" s="300"/>
      <c r="C624" s="307"/>
    </row>
    <row r="625" spans="1:3">
      <c r="A625" s="306"/>
      <c r="B625" s="300"/>
      <c r="C625" s="307"/>
    </row>
    <row r="626" spans="1:3">
      <c r="A626" s="306"/>
      <c r="B626" s="300"/>
      <c r="C626" s="307"/>
    </row>
    <row r="627" spans="1:3">
      <c r="A627" s="306"/>
      <c r="B627" s="300"/>
      <c r="C627" s="307"/>
    </row>
    <row r="628" spans="1:3">
      <c r="A628" s="306"/>
      <c r="B628" s="300"/>
      <c r="C628" s="307"/>
    </row>
    <row r="629" spans="1:3">
      <c r="A629" s="306"/>
      <c r="B629" s="300"/>
      <c r="C629" s="307"/>
    </row>
    <row r="630" spans="1:3">
      <c r="A630" s="306"/>
      <c r="B630" s="300"/>
      <c r="C630" s="307"/>
    </row>
    <row r="631" spans="1:3">
      <c r="A631" s="306"/>
      <c r="B631" s="300"/>
      <c r="C631" s="307"/>
    </row>
    <row r="632" spans="1:3">
      <c r="A632" s="306"/>
      <c r="B632" s="300"/>
      <c r="C632" s="307"/>
    </row>
    <row r="633" spans="1:3">
      <c r="A633" s="306"/>
      <c r="B633" s="300"/>
      <c r="C633" s="307"/>
    </row>
    <row r="634" spans="1:3">
      <c r="A634" s="306"/>
      <c r="B634" s="300"/>
      <c r="C634" s="307"/>
    </row>
    <row r="635" spans="1:3">
      <c r="A635" s="306"/>
      <c r="B635" s="300"/>
      <c r="C635" s="307"/>
    </row>
    <row r="636" spans="1:3">
      <c r="A636" s="306"/>
      <c r="B636" s="300"/>
      <c r="C636" s="307"/>
    </row>
    <row r="637" spans="1:3">
      <c r="A637" s="306"/>
      <c r="B637" s="300"/>
      <c r="C637" s="307"/>
    </row>
    <row r="638" spans="1:3">
      <c r="A638" s="306"/>
      <c r="B638" s="300"/>
      <c r="C638" s="307"/>
    </row>
    <row r="639" spans="1:3">
      <c r="A639" s="306"/>
      <c r="B639" s="300"/>
      <c r="C639" s="307"/>
    </row>
    <row r="640" spans="1:3">
      <c r="A640" s="306"/>
      <c r="B640" s="300"/>
      <c r="C640" s="307"/>
    </row>
    <row r="641" spans="1:3">
      <c r="A641" s="306"/>
      <c r="B641" s="300"/>
      <c r="C641" s="307"/>
    </row>
    <row r="642" spans="1:3">
      <c r="A642" s="306"/>
      <c r="B642" s="300"/>
      <c r="C642" s="307"/>
    </row>
    <row r="643" spans="1:3">
      <c r="A643" s="306"/>
      <c r="B643" s="300"/>
      <c r="C643" s="307"/>
    </row>
    <row r="644" spans="1:3">
      <c r="A644" s="306"/>
      <c r="B644" s="300"/>
      <c r="C644" s="307"/>
    </row>
    <row r="645" spans="1:3">
      <c r="A645" s="306"/>
      <c r="B645" s="300"/>
      <c r="C645" s="307"/>
    </row>
    <row r="646" spans="1:3">
      <c r="A646" s="306"/>
      <c r="B646" s="300"/>
      <c r="C646" s="307"/>
    </row>
    <row r="647" spans="1:3">
      <c r="A647" s="306"/>
      <c r="B647" s="300"/>
      <c r="C647" s="307"/>
    </row>
    <row r="648" spans="1:3">
      <c r="A648" s="306"/>
      <c r="B648" s="300"/>
      <c r="C648" s="307"/>
    </row>
    <row r="649" spans="1:3">
      <c r="A649" s="306"/>
      <c r="B649" s="300"/>
      <c r="C649" s="307"/>
    </row>
    <row r="650" spans="1:3">
      <c r="A650" s="306"/>
      <c r="B650" s="300"/>
      <c r="C650" s="307"/>
    </row>
    <row r="651" spans="1:3">
      <c r="A651" s="306"/>
      <c r="B651" s="300"/>
      <c r="C651" s="307"/>
    </row>
    <row r="652" spans="1:3">
      <c r="A652" s="306"/>
      <c r="B652" s="300"/>
      <c r="C652" s="307"/>
    </row>
    <row r="653" spans="1:3">
      <c r="A653" s="306"/>
      <c r="B653" s="300"/>
      <c r="C653" s="307"/>
    </row>
    <row r="654" spans="1:3">
      <c r="A654" s="306"/>
      <c r="B654" s="300"/>
      <c r="C654" s="307"/>
    </row>
    <row r="655" spans="1:3">
      <c r="A655" s="306"/>
      <c r="B655" s="300"/>
      <c r="C655" s="307"/>
    </row>
    <row r="656" spans="1:3">
      <c r="A656" s="306"/>
      <c r="B656" s="300"/>
      <c r="C656" s="307"/>
    </row>
    <row r="657" spans="1:3">
      <c r="A657" s="306"/>
      <c r="B657" s="300"/>
      <c r="C657" s="307"/>
    </row>
    <row r="658" spans="1:3">
      <c r="A658" s="306"/>
      <c r="B658" s="300"/>
      <c r="C658" s="307"/>
    </row>
    <row r="659" spans="1:3">
      <c r="A659" s="306"/>
      <c r="B659" s="300"/>
      <c r="C659" s="307"/>
    </row>
    <row r="660" spans="1:3">
      <c r="A660" s="306"/>
      <c r="B660" s="300"/>
      <c r="C660" s="307"/>
    </row>
    <row r="661" spans="1:3">
      <c r="A661" s="306"/>
      <c r="B661" s="300"/>
      <c r="C661" s="307"/>
    </row>
    <row r="662" spans="1:3">
      <c r="A662" s="306"/>
      <c r="B662" s="300"/>
      <c r="C662" s="307"/>
    </row>
    <row r="663" spans="1:3">
      <c r="A663" s="306"/>
      <c r="B663" s="300"/>
      <c r="C663" s="307"/>
    </row>
    <row r="664" spans="1:3">
      <c r="A664" s="306"/>
      <c r="B664" s="300"/>
      <c r="C664" s="307"/>
    </row>
    <row r="665" spans="1:3">
      <c r="A665" s="306"/>
      <c r="B665" s="300"/>
      <c r="C665" s="307"/>
    </row>
    <row r="666" spans="1:3">
      <c r="A666" s="306"/>
      <c r="B666" s="300"/>
      <c r="C666" s="307"/>
    </row>
    <row r="667" spans="1:3">
      <c r="A667" s="306"/>
      <c r="B667" s="300"/>
      <c r="C667" s="307"/>
    </row>
    <row r="668" spans="1:3">
      <c r="A668" s="306"/>
      <c r="B668" s="300"/>
      <c r="C668" s="307"/>
    </row>
    <row r="669" spans="1:3">
      <c r="A669" s="306"/>
      <c r="B669" s="300"/>
      <c r="C669" s="307"/>
    </row>
    <row r="670" spans="1:3">
      <c r="A670" s="306"/>
      <c r="B670" s="300"/>
      <c r="C670" s="307"/>
    </row>
    <row r="671" spans="1:3">
      <c r="A671" s="306"/>
      <c r="B671" s="300"/>
      <c r="C671" s="307"/>
    </row>
    <row r="672" spans="1:3">
      <c r="A672" s="306"/>
      <c r="B672" s="300"/>
      <c r="C672" s="307"/>
    </row>
    <row r="673" spans="1:3">
      <c r="A673" s="306"/>
      <c r="B673" s="300"/>
      <c r="C673" s="307"/>
    </row>
    <row r="674" spans="1:3">
      <c r="A674" s="306"/>
      <c r="B674" s="300"/>
      <c r="C674" s="307"/>
    </row>
    <row r="675" spans="1:3">
      <c r="A675" s="306"/>
      <c r="B675" s="300"/>
      <c r="C675" s="307"/>
    </row>
    <row r="676" spans="1:3">
      <c r="A676" s="306"/>
      <c r="B676" s="300"/>
      <c r="C676" s="307"/>
    </row>
    <row r="677" spans="1:3">
      <c r="A677" s="306"/>
      <c r="B677" s="300"/>
      <c r="C677" s="307"/>
    </row>
    <row r="678" spans="1:3">
      <c r="A678" s="306"/>
      <c r="B678" s="300"/>
      <c r="C678" s="307"/>
    </row>
    <row r="679" spans="1:3">
      <c r="A679" s="306"/>
      <c r="B679" s="300"/>
      <c r="C679" s="307"/>
    </row>
    <row r="680" spans="1:3">
      <c r="A680" s="306"/>
      <c r="B680" s="300"/>
      <c r="C680" s="307"/>
    </row>
    <row r="681" spans="1:3">
      <c r="A681" s="306"/>
      <c r="B681" s="300"/>
      <c r="C681" s="307"/>
    </row>
    <row r="682" spans="1:3">
      <c r="A682" s="306"/>
      <c r="B682" s="300"/>
      <c r="C682" s="307"/>
    </row>
    <row r="683" spans="1:3">
      <c r="A683" s="306"/>
      <c r="B683" s="300"/>
      <c r="C683" s="307"/>
    </row>
    <row r="684" spans="1:3">
      <c r="A684" s="306"/>
      <c r="B684" s="300"/>
      <c r="C684" s="307"/>
    </row>
    <row r="685" spans="1:3">
      <c r="A685" s="306"/>
      <c r="B685" s="300"/>
      <c r="C685" s="307"/>
    </row>
    <row r="686" spans="1:3">
      <c r="A686" s="306"/>
      <c r="B686" s="300"/>
      <c r="C686" s="307"/>
    </row>
    <row r="687" spans="1:3">
      <c r="A687" s="306"/>
      <c r="B687" s="300"/>
      <c r="C687" s="307"/>
    </row>
    <row r="688" spans="1:3">
      <c r="A688" s="306"/>
      <c r="B688" s="300"/>
      <c r="C688" s="307"/>
    </row>
    <row r="689" spans="1:3">
      <c r="A689" s="306"/>
      <c r="B689" s="300"/>
      <c r="C689" s="307"/>
    </row>
    <row r="690" spans="1:3">
      <c r="A690" s="306"/>
      <c r="B690" s="300"/>
      <c r="C690" s="307"/>
    </row>
    <row r="691" spans="1:3">
      <c r="A691" s="306"/>
      <c r="B691" s="300"/>
      <c r="C691" s="307"/>
    </row>
    <row r="692" spans="1:3">
      <c r="A692" s="306"/>
      <c r="B692" s="300"/>
      <c r="C692" s="307"/>
    </row>
    <row r="693" spans="1:3">
      <c r="A693" s="306"/>
      <c r="B693" s="300"/>
      <c r="C693" s="307"/>
    </row>
    <row r="694" spans="1:3">
      <c r="A694" s="306"/>
      <c r="B694" s="300"/>
      <c r="C694" s="307"/>
    </row>
    <row r="695" spans="1:3">
      <c r="A695" s="306"/>
      <c r="B695" s="300"/>
      <c r="C695" s="307"/>
    </row>
    <row r="696" spans="1:3">
      <c r="A696" s="306"/>
      <c r="B696" s="300"/>
      <c r="C696" s="307"/>
    </row>
    <row r="697" spans="1:3">
      <c r="A697" s="306"/>
      <c r="B697" s="300"/>
      <c r="C697" s="307"/>
    </row>
    <row r="698" spans="1:3">
      <c r="A698" s="306"/>
      <c r="B698" s="300"/>
      <c r="C698" s="307"/>
    </row>
    <row r="699" spans="1:3">
      <c r="A699" s="306"/>
      <c r="B699" s="300"/>
      <c r="C699" s="307"/>
    </row>
    <row r="700" spans="1:3">
      <c r="A700" s="306"/>
      <c r="B700" s="300"/>
      <c r="C700" s="307"/>
    </row>
    <row r="701" spans="1:3">
      <c r="A701" s="306"/>
      <c r="B701" s="300"/>
      <c r="C701" s="307"/>
    </row>
    <row r="702" spans="1:3">
      <c r="A702" s="306"/>
      <c r="B702" s="300"/>
      <c r="C702" s="307"/>
    </row>
    <row r="703" spans="1:3">
      <c r="A703" s="306"/>
      <c r="B703" s="300"/>
      <c r="C703" s="307"/>
    </row>
    <row r="704" spans="1:3">
      <c r="A704" s="306"/>
      <c r="B704" s="300"/>
      <c r="C704" s="307"/>
    </row>
    <row r="705" spans="1:3">
      <c r="A705" s="306"/>
      <c r="B705" s="300"/>
      <c r="C705" s="307"/>
    </row>
    <row r="706" spans="1:3">
      <c r="A706" s="306"/>
      <c r="B706" s="300"/>
      <c r="C706" s="307"/>
    </row>
    <row r="707" spans="1:3">
      <c r="A707" s="306"/>
      <c r="B707" s="300"/>
      <c r="C707" s="307"/>
    </row>
    <row r="708" spans="1:3">
      <c r="A708" s="306"/>
      <c r="B708" s="300"/>
      <c r="C708" s="307"/>
    </row>
    <row r="709" spans="1:3">
      <c r="A709" s="306"/>
      <c r="B709" s="300"/>
      <c r="C709" s="307"/>
    </row>
    <row r="710" spans="1:3">
      <c r="A710" s="306"/>
      <c r="B710" s="300"/>
      <c r="C710" s="307"/>
    </row>
    <row r="711" spans="1:3">
      <c r="A711" s="306"/>
      <c r="B711" s="300"/>
      <c r="C711" s="307"/>
    </row>
    <row r="712" spans="1:3">
      <c r="A712" s="306"/>
      <c r="B712" s="300"/>
      <c r="C712" s="307"/>
    </row>
    <row r="713" spans="1:3">
      <c r="A713" s="306"/>
      <c r="B713" s="300"/>
      <c r="C713" s="307"/>
    </row>
    <row r="714" spans="1:3">
      <c r="A714" s="306"/>
      <c r="B714" s="300"/>
      <c r="C714" s="307"/>
    </row>
    <row r="715" spans="1:3">
      <c r="A715" s="306"/>
      <c r="B715" s="300"/>
      <c r="C715" s="307"/>
    </row>
    <row r="716" spans="1:3">
      <c r="A716" s="306"/>
      <c r="B716" s="300"/>
      <c r="C716" s="307"/>
    </row>
    <row r="717" spans="1:3">
      <c r="A717" s="306"/>
      <c r="B717" s="300"/>
      <c r="C717" s="307"/>
    </row>
    <row r="718" spans="1:3">
      <c r="A718" s="306"/>
      <c r="B718" s="300"/>
      <c r="C718" s="307"/>
    </row>
    <row r="719" spans="1:3">
      <c r="A719" s="306"/>
      <c r="B719" s="300"/>
      <c r="C719" s="307"/>
    </row>
    <row r="720" spans="1:3">
      <c r="A720" s="306"/>
      <c r="B720" s="300"/>
      <c r="C720" s="307"/>
    </row>
    <row r="721" spans="1:3">
      <c r="A721" s="306"/>
      <c r="B721" s="300"/>
      <c r="C721" s="307"/>
    </row>
    <row r="722" spans="1:3">
      <c r="A722" s="306"/>
      <c r="B722" s="300"/>
      <c r="C722" s="307"/>
    </row>
    <row r="723" spans="1:3">
      <c r="A723" s="306"/>
      <c r="B723" s="300"/>
      <c r="C723" s="307"/>
    </row>
    <row r="724" spans="1:3">
      <c r="A724" s="306"/>
      <c r="B724" s="300"/>
      <c r="C724" s="307"/>
    </row>
    <row r="725" spans="1:3">
      <c r="A725" s="306"/>
      <c r="B725" s="300"/>
      <c r="C725" s="307"/>
    </row>
    <row r="726" spans="1:3">
      <c r="A726" s="306"/>
      <c r="B726" s="300"/>
      <c r="C726" s="307"/>
    </row>
    <row r="727" spans="1:3">
      <c r="A727" s="306"/>
      <c r="B727" s="300"/>
      <c r="C727" s="307"/>
    </row>
    <row r="728" spans="1:3">
      <c r="A728" s="306"/>
      <c r="B728" s="300"/>
      <c r="C728" s="307"/>
    </row>
    <row r="729" spans="1:3">
      <c r="A729" s="306"/>
      <c r="B729" s="300"/>
      <c r="C729" s="307"/>
    </row>
    <row r="730" spans="1:3">
      <c r="A730" s="306"/>
      <c r="B730" s="300"/>
      <c r="C730" s="307"/>
    </row>
    <row r="731" spans="1:3">
      <c r="A731" s="306"/>
      <c r="B731" s="300"/>
      <c r="C731" s="307"/>
    </row>
    <row r="732" spans="1:3">
      <c r="A732" s="306"/>
      <c r="B732" s="300"/>
      <c r="C732" s="307"/>
    </row>
    <row r="733" spans="1:3">
      <c r="A733" s="306"/>
      <c r="B733" s="300"/>
      <c r="C733" s="307"/>
    </row>
    <row r="734" spans="1:3">
      <c r="A734" s="306"/>
      <c r="B734" s="300"/>
      <c r="C734" s="307"/>
    </row>
    <row r="735" spans="1:3">
      <c r="A735" s="306"/>
      <c r="B735" s="300"/>
      <c r="C735" s="307"/>
    </row>
    <row r="736" spans="1:3">
      <c r="A736" s="306"/>
      <c r="B736" s="300"/>
      <c r="C736" s="307"/>
    </row>
    <row r="737" spans="1:3">
      <c r="A737" s="306"/>
      <c r="B737" s="300"/>
      <c r="C737" s="307"/>
    </row>
    <row r="738" spans="1:3">
      <c r="A738" s="306"/>
      <c r="B738" s="300"/>
      <c r="C738" s="307"/>
    </row>
    <row r="739" spans="1:3">
      <c r="A739" s="306"/>
      <c r="B739" s="300"/>
      <c r="C739" s="307"/>
    </row>
    <row r="740" spans="1:3">
      <c r="A740" s="306"/>
      <c r="B740" s="300"/>
      <c r="C740" s="307"/>
    </row>
    <row r="741" spans="1:3">
      <c r="A741" s="306"/>
      <c r="B741" s="300"/>
      <c r="C741" s="307"/>
    </row>
    <row r="742" spans="1:3">
      <c r="A742" s="306"/>
      <c r="B742" s="300"/>
      <c r="C742" s="307"/>
    </row>
    <row r="743" spans="1:3">
      <c r="A743" s="306"/>
      <c r="B743" s="300"/>
      <c r="C743" s="307"/>
    </row>
    <row r="744" spans="1:3">
      <c r="A744" s="306"/>
      <c r="B744" s="300"/>
      <c r="C744" s="307"/>
    </row>
    <row r="745" spans="1:3">
      <c r="A745" s="306"/>
      <c r="B745" s="300"/>
      <c r="C745" s="307"/>
    </row>
    <row r="746" spans="1:3">
      <c r="A746" s="306"/>
      <c r="B746" s="300"/>
      <c r="C746" s="307"/>
    </row>
    <row r="747" spans="1:3">
      <c r="A747" s="306"/>
      <c r="B747" s="300"/>
      <c r="C747" s="307"/>
    </row>
    <row r="748" spans="1:3">
      <c r="A748" s="306"/>
      <c r="B748" s="300"/>
      <c r="C748" s="307"/>
    </row>
    <row r="749" spans="1:3">
      <c r="A749" s="306"/>
      <c r="B749" s="300"/>
      <c r="C749" s="307"/>
    </row>
    <row r="750" spans="1:3">
      <c r="A750" s="306"/>
      <c r="B750" s="300"/>
      <c r="C750" s="307"/>
    </row>
    <row r="751" spans="1:3">
      <c r="A751" s="306"/>
      <c r="B751" s="300"/>
      <c r="C751" s="307"/>
    </row>
    <row r="752" spans="1:3">
      <c r="A752" s="306"/>
      <c r="B752" s="300"/>
      <c r="C752" s="307"/>
    </row>
    <row r="753" spans="1:3">
      <c r="A753" s="306"/>
      <c r="B753" s="300"/>
      <c r="C753" s="307"/>
    </row>
    <row r="754" spans="1:3">
      <c r="A754" s="306"/>
      <c r="B754" s="300"/>
      <c r="C754" s="307"/>
    </row>
    <row r="755" spans="1:3">
      <c r="A755" s="306"/>
      <c r="B755" s="300"/>
      <c r="C755" s="307"/>
    </row>
    <row r="756" spans="1:3">
      <c r="A756" s="306"/>
      <c r="B756" s="300"/>
      <c r="C756" s="307"/>
    </row>
    <row r="757" spans="1:3">
      <c r="A757" s="306"/>
      <c r="B757" s="300"/>
      <c r="C757" s="307"/>
    </row>
    <row r="758" spans="1:3">
      <c r="A758" s="306"/>
      <c r="B758" s="300"/>
      <c r="C758" s="307"/>
    </row>
  </sheetData>
  <sheetProtection algorithmName="SHA-512" hashValue="zIE/s1Aj2dzr8v3QT8gcDaZHnDtZWibJp964mnBKpvFiEsfkOZCm0P5AhnYXQUNBgXAx7OhfdCyN0zjqE5Gvpg==" saltValue="QCP+UzWCDDrotO38tXh9AA==" spinCount="100000" sheet="1" objects="1" scenarios="1"/>
  <mergeCells count="3">
    <mergeCell ref="A2:C2"/>
    <mergeCell ref="E5:F13"/>
    <mergeCell ref="E2:G3"/>
  </mergeCells>
  <phoneticPr fontId="7" type="noConversion"/>
  <hyperlinks>
    <hyperlink ref="E2:E3" location="Start!A1" display="Home"/>
  </hyperlinks>
  <pageMargins left="0.78740157499999996" right="0.78740157499999996" top="0.984251969" bottom="0.984251969" header="0.4921259845" footer="0.492125984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pageSetUpPr fitToPage="1"/>
  </sheetPr>
  <dimension ref="A1:E1459"/>
  <sheetViews>
    <sheetView topLeftCell="A100" workbookViewId="0">
      <selection activeCell="C8" sqref="C8"/>
    </sheetView>
  </sheetViews>
  <sheetFormatPr baseColWidth="10" defaultColWidth="11.453125" defaultRowHeight="12.5"/>
  <cols>
    <col min="1" max="1" width="7.54296875" style="4" customWidth="1"/>
    <col min="2" max="2" width="3.26953125" style="4" customWidth="1"/>
    <col min="3" max="3" width="103" style="3" customWidth="1"/>
    <col min="4" max="4" width="2.26953125" style="1" customWidth="1"/>
    <col min="5" max="16384" width="11.453125" style="1"/>
  </cols>
  <sheetData>
    <row r="1" spans="1:5" ht="13" thickBot="1"/>
    <row r="2" spans="1:5" ht="16" thickTop="1">
      <c r="C2" s="9" t="s">
        <v>1772</v>
      </c>
      <c r="E2" s="791" t="str">
        <f>'Used Language'!C128</f>
        <v>Home</v>
      </c>
    </row>
    <row r="3" spans="1:5">
      <c r="E3" s="792"/>
    </row>
    <row r="4" spans="1:5" ht="13.5" thickBot="1">
      <c r="A4" s="6"/>
      <c r="B4" s="6"/>
      <c r="C4" s="5">
        <f>IF('Language 1'!I4=0,1,'Language 1'!I4)</f>
        <v>2</v>
      </c>
      <c r="E4" s="793"/>
    </row>
    <row r="5" spans="1:5" ht="13"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Unauthorized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Authorized Consumption</v>
      </c>
    </row>
    <row r="18" spans="1:3">
      <c r="A18" s="4">
        <v>17</v>
      </c>
      <c r="C18" s="7" t="str">
        <f>HLOOKUP(C$4,'Language 2'!$A$2:$AC$150,A18)</f>
        <v>Water Losses</v>
      </c>
    </row>
    <row r="19" spans="1:3">
      <c r="A19" s="4">
        <v>18</v>
      </c>
      <c r="C19" s="7" t="str">
        <f>HLOOKUP(C$4,'Language 2'!$A$2:$AC$150,A19)</f>
        <v>Billed Authorized Consumption</v>
      </c>
    </row>
    <row r="20" spans="1:3">
      <c r="A20" s="4">
        <v>19</v>
      </c>
      <c r="C20" s="7" t="str">
        <f>HLOOKUP(C$4,'Language 2'!$A$2:$AC$150,A20)</f>
        <v>Unbilled Authorized Consumption</v>
      </c>
    </row>
    <row r="21" spans="1:3">
      <c r="A21" s="4">
        <v>20</v>
      </c>
      <c r="C21" s="7" t="str">
        <f>HLOOKUP(C$4,'Language 2'!$A$2:$AC$150,A21)</f>
        <v>Commercial Losses</v>
      </c>
    </row>
    <row r="22" spans="1:3">
      <c r="A22" s="4">
        <v>21</v>
      </c>
      <c r="C22" s="7" t="str">
        <f>HLOOKUP(C$4,'Language 2'!$A$2:$AC$150,A22)</f>
        <v>Physical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ht="25">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Physical Losses</v>
      </c>
    </row>
    <row r="38" spans="1:3">
      <c r="A38" s="4">
        <v>37</v>
      </c>
      <c r="C38" s="7" t="str">
        <f>HLOOKUP(C$4,'Language 2'!$A$2:$AC$150,A38)</f>
        <v>Physical Loss Performance Indicators</v>
      </c>
    </row>
    <row r="39" spans="1:3">
      <c r="A39" s="4">
        <v>38</v>
      </c>
      <c r="C39" s="7" t="str">
        <f>HLOOKUP(C$4,'Language 2'!$A$2:$AC$150,A39)</f>
        <v>Commercial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v>
      </c>
    </row>
    <row r="46" spans="1:3">
      <c r="A46" s="4">
        <v>45</v>
      </c>
      <c r="C46" s="7" t="str">
        <f>HLOOKUP(C$4,'Language 2'!$A$2:$AC$150,A46)</f>
        <v>CAPL - Current Annual Volume of Physical Losses [m3/day]</v>
      </c>
    </row>
    <row r="47" spans="1:3">
      <c r="A47" s="4">
        <v>46</v>
      </c>
      <c r="C47" s="7" t="str">
        <f>HLOOKUP(C$4,'Language 2'!$A$2:$AC$150,A47)</f>
        <v>MAPL - Minimum Achievable Volume of Physical Losses [m3/day]</v>
      </c>
    </row>
    <row r="48" spans="1:3" ht="37.5">
      <c r="A48" s="4">
        <v>47</v>
      </c>
      <c r="C48" s="7" t="str">
        <f>HLOOKUP(C$4,'Language 2'!$A$2:$AC$150,A48)</f>
        <v>Liters per Connection per Day (w.s.p.)
w.s.p.: when the system is pressurized - this means the value is already corrected in the case of intermittent supply</v>
      </c>
    </row>
    <row r="49" spans="1:3">
      <c r="A49" s="4">
        <v>48</v>
      </c>
      <c r="C49" s="7" t="str">
        <f>HLOOKUP(C$4,'Language 2'!$A$2:$AC$150,A49)</f>
        <v>Liters per Connection per Day per meter Pressure (w.s.p.)</v>
      </c>
    </row>
    <row r="50" spans="1:3">
      <c r="A50" s="4">
        <v>49</v>
      </c>
      <c r="C50" s="7" t="str">
        <f>HLOOKUP(C$4,'Language 2'!$A$2:$AC$150,A50)</f>
        <v>Infrastructure Leakage Index (ILI)</v>
      </c>
    </row>
    <row r="51" spans="1:3">
      <c r="A51" s="4">
        <v>50</v>
      </c>
      <c r="C51" s="7" t="str">
        <f>HLOOKUP(C$4,'Language 2'!$A$2:$AC$150,A51)</f>
        <v>Commercial Losses expressed in % of Authorized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ht="25">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37.5">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[kilometer]</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ht="25">
      <c r="A74" s="4">
        <v>73</v>
      </c>
      <c r="C74" s="7" t="str">
        <f>HLOOKUP(C$4,'Language 2'!$A$2:$AC$150,A74)</f>
        <v>Daily Average Pressure
[m]</v>
      </c>
    </row>
    <row r="75" spans="1:3" ht="25">
      <c r="A75" s="4">
        <v>74</v>
      </c>
      <c r="C75" s="7" t="str">
        <f>HLOOKUP(C$4,'Language 2'!$A$2:$AC$150,A75)</f>
        <v>Supply Time
[days per week]</v>
      </c>
    </row>
    <row r="76" spans="1:3" ht="25">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ht="25">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37.5">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[liters/person/day]</v>
      </c>
    </row>
    <row r="95" spans="1:3" ht="25">
      <c r="A95" s="4">
        <v>94</v>
      </c>
      <c r="C95" s="7" t="str">
        <f>HLOOKUP(C$4,'Language 2'!$A$2:$AC$150,A95)</f>
        <v>Total
[m3]</v>
      </c>
    </row>
    <row r="96" spans="1:3" ht="25">
      <c r="A96" s="4">
        <v>95</v>
      </c>
      <c r="C96" s="7" t="str">
        <f>HLOOKUP(C$4,'Language 2'!$A$2:$AC$150,A96)</f>
        <v>Consumption
[liters/connection/day]</v>
      </c>
    </row>
    <row r="97" spans="1:3" ht="25">
      <c r="A97" s="4">
        <v>96</v>
      </c>
      <c r="C97" s="7" t="str">
        <f>HLOOKUP(C$4,'Language 2'!$A$2:$AC$150,A97)</f>
        <v>Consumption
[liters/customer/day]</v>
      </c>
    </row>
    <row r="98" spans="1:3">
      <c r="A98" s="4">
        <v>97</v>
      </c>
      <c r="C98" s="7" t="str">
        <f>HLOOKUP(C$4,'Language 2'!$A$2:$AC$150,A98)</f>
        <v>Unauthorized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Liters/connection/day </v>
      </c>
    </row>
    <row r="126" spans="1:3">
      <c r="A126" s="4">
        <v>125</v>
      </c>
      <c r="B126" s="2"/>
      <c r="C126" s="7" t="str">
        <f>HLOOKUP(C$4,'Language 2'!$A$2:$AC$150,A126)</f>
        <v>(when the system is pressurized)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5">
      <c r="A129" s="4">
        <v>128</v>
      </c>
      <c r="B129" s="2"/>
      <c r="C129" s="7" t="str">
        <f>HLOOKUP(C$4,'Language 2'!$A$2:$AC$150,A129)</f>
        <v>Further loss reduction may be uneconomic unless there are shortages; careful analysis needed to identify cost effective improvement</v>
      </c>
    </row>
    <row r="130" spans="1:3" ht="25">
      <c r="A130" s="4">
        <v>129</v>
      </c>
      <c r="B130" s="2"/>
      <c r="C130" s="7" t="str">
        <f>HLOOKUP(C$4,'Language 2'!$A$2:$AC$150,A130)</f>
        <v>Potential for marked improvements; consider   pressure management; better active leakage control practices, and better network maintenance</v>
      </c>
    </row>
    <row r="131" spans="1:3" ht="25">
      <c r="A131" s="4">
        <v>130</v>
      </c>
      <c r="B131" s="2"/>
      <c r="C131" s="7" t="str">
        <f>HLOOKUP(C$4,'Language 2'!$A$2:$AC$150,A131)</f>
        <v>Poor leakage record; tolerable only if water is plentiful and cheap; even then, analyze level and nature of leakage and intensify leakage reduction efforts</v>
      </c>
    </row>
    <row r="132" spans="1:3">
      <c r="A132" s="4">
        <v>131</v>
      </c>
      <c r="B132" s="2"/>
      <c r="C132" s="7" t="str">
        <f>HLOOKUP(C$4,'Language 2'!$A$2:$AC$150,A132)</f>
        <v>Horrendously inefficient use of resources; leakage reduction programs imperative and high priority</v>
      </c>
    </row>
    <row r="133" spans="1:3" ht="37.5">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7.5">
      <c r="A134" s="4">
        <v>133</v>
      </c>
      <c r="B134" s="2"/>
      <c r="C134" s="7" t="str">
        <f>HLOOKUP(C$4,'Language 2'!$A$2:$AC$150,A134)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135" spans="1:3" ht="50">
      <c r="A135" s="4">
        <v>134</v>
      </c>
      <c r="B135" s="2"/>
      <c r="C135" s="7" t="str">
        <f>HLOOKUP(C$4,'Language 2'!$A$2:$AC$150,A135)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37.5">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25">
      <c r="A142" s="4">
        <v>141</v>
      </c>
      <c r="B142" s="2"/>
      <c r="C142" s="7" t="str">
        <f>HLOOKUP(C$4,'Language 2'!$A$2:$AC$150,A142)</f>
        <v>8.) GIGO - Garbage in Garbage out! The user has to be aware that results calculated with this program can be extremely wrong if base data is wrong or incomplete.</v>
      </c>
    </row>
    <row r="143" spans="1:3" ht="25">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25">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5">
      <c r="A146" s="4">
        <v>145</v>
      </c>
      <c r="B146" s="2"/>
      <c r="C146" s="7" t="str">
        <f>HLOOKUP(C$4,'Language 2'!$A$2:$AC$150,A146)</f>
        <v>12.) WB-EasyCalc will be continuously improved and upgraded - revisit www.liemberger.cc from time to time to check for new versions.</v>
      </c>
    </row>
    <row r="147" spans="1:3" ht="25">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liters/connection/day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5">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37.5">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0">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7.5">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Click the button to 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sheetProtection algorithmName="SHA-512" hashValue="REVirbqQ63cNL7BrxpvkoKOwjWC12aQ8bqtu2wG3iWxD5gjUD4vEQ7+BA5ct6amf12h5yoDlETowXC8wK3gcbg==" saltValue="JFrpjmI7bfWS1c5K9kX3BQ==" spinCount="100000" sheet="1" objects="1" scenarios="1"/>
  <mergeCells count="1">
    <mergeCell ref="E2:E4"/>
  </mergeCells>
  <phoneticPr fontId="7" type="noConversion"/>
  <hyperlinks>
    <hyperlink ref="E2:E3" location="Start!A1" display="Home"/>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2">
    <pageSetUpPr fitToPage="1"/>
  </sheetPr>
  <dimension ref="A1:K22"/>
  <sheetViews>
    <sheetView workbookViewId="0">
      <selection activeCell="K5" sqref="K5:K6"/>
    </sheetView>
  </sheetViews>
  <sheetFormatPr baseColWidth="10" defaultColWidth="11.453125" defaultRowHeight="15.5"/>
  <cols>
    <col min="1" max="1" width="2.26953125" style="166" customWidth="1"/>
    <col min="2" max="2" width="14.54296875" style="166" customWidth="1"/>
    <col min="3" max="3" width="11.453125" style="273"/>
    <col min="4" max="4" width="14.1796875" style="273" customWidth="1"/>
    <col min="5" max="9" width="14.1796875" style="166" customWidth="1"/>
    <col min="10" max="10" width="2.26953125" style="166" customWidth="1"/>
    <col min="11" max="11" width="25.54296875" style="166" customWidth="1"/>
    <col min="12" max="16384" width="11.453125" style="166"/>
  </cols>
  <sheetData>
    <row r="1" spans="1:11" ht="16" thickBot="1"/>
    <row r="2" spans="1:11" ht="22.15" customHeight="1" thickTop="1">
      <c r="B2" s="805" t="str">
        <f>'Used Language'!C123</f>
        <v>Physical Loss Assessment Matrix</v>
      </c>
      <c r="C2" s="806"/>
      <c r="D2" s="806"/>
      <c r="E2" s="806"/>
      <c r="F2" s="806"/>
      <c r="G2" s="806"/>
      <c r="H2" s="806"/>
      <c r="I2" s="807"/>
      <c r="K2" s="801" t="str">
        <f>'Used Language'!C128</f>
        <v>Home</v>
      </c>
    </row>
    <row r="3" spans="1:11" ht="16.149999999999999" customHeight="1" thickBot="1">
      <c r="A3" s="274"/>
      <c r="B3" s="274"/>
      <c r="C3" s="275"/>
      <c r="D3" s="275"/>
      <c r="E3" s="274"/>
      <c r="F3" s="274"/>
      <c r="G3" s="274"/>
      <c r="H3" s="274"/>
      <c r="I3" s="274"/>
      <c r="J3" s="274"/>
      <c r="K3" s="802"/>
    </row>
    <row r="4" spans="1:11" ht="19.5" thickTop="1" thickBot="1">
      <c r="A4" s="274"/>
      <c r="B4" s="808" t="str">
        <f>'Used Language'!C124</f>
        <v>Technical Performance Category</v>
      </c>
      <c r="C4" s="809"/>
      <c r="D4" s="814" t="s">
        <v>1150</v>
      </c>
      <c r="E4" s="817" t="str">
        <f>'Used Language'!C125</f>
        <v xml:space="preserve">Liters/connection/day </v>
      </c>
      <c r="F4" s="818"/>
      <c r="G4" s="818"/>
      <c r="H4" s="818"/>
      <c r="I4" s="819"/>
      <c r="J4" s="274"/>
    </row>
    <row r="5" spans="1:11" ht="33" customHeight="1" thickTop="1" thickBot="1">
      <c r="A5" s="274"/>
      <c r="B5" s="810"/>
      <c r="C5" s="811"/>
      <c r="D5" s="815"/>
      <c r="E5" s="820" t="str">
        <f>'Used Language'!C126</f>
        <v>(when the system is pressurized) at an average pressure of:</v>
      </c>
      <c r="F5" s="821"/>
      <c r="G5" s="821"/>
      <c r="H5" s="821"/>
      <c r="I5" s="822"/>
      <c r="J5" s="274"/>
      <c r="K5" s="803" t="str">
        <f>'Used Language'!C127</f>
        <v>Back to Indicators</v>
      </c>
    </row>
    <row r="6" spans="1:11" ht="25.5" customHeight="1" thickBot="1">
      <c r="A6" s="274"/>
      <c r="B6" s="812"/>
      <c r="C6" s="813"/>
      <c r="D6" s="816"/>
      <c r="E6" s="280" t="s">
        <v>1153</v>
      </c>
      <c r="F6" s="280" t="s">
        <v>1154</v>
      </c>
      <c r="G6" s="280" t="s">
        <v>1155</v>
      </c>
      <c r="H6" s="280" t="s">
        <v>1156</v>
      </c>
      <c r="I6" s="281" t="s">
        <v>1157</v>
      </c>
      <c r="J6" s="274"/>
      <c r="K6" s="804"/>
    </row>
    <row r="7" spans="1:11" ht="35.25" customHeight="1" thickBot="1">
      <c r="A7" s="274"/>
      <c r="B7" s="795" t="str">
        <f>'Used Language'!C42</f>
        <v>Standard</v>
      </c>
      <c r="C7" s="282" t="s">
        <v>2946</v>
      </c>
      <c r="D7" s="283" t="s">
        <v>2948</v>
      </c>
      <c r="E7" s="282"/>
      <c r="F7" s="282" t="s">
        <v>2949</v>
      </c>
      <c r="G7" s="282" t="s">
        <v>2950</v>
      </c>
      <c r="H7" s="282" t="s">
        <v>1513</v>
      </c>
      <c r="I7" s="284" t="s">
        <v>2951</v>
      </c>
      <c r="J7" s="274"/>
    </row>
    <row r="8" spans="1:11" ht="35.25" customHeight="1" thickBot="1">
      <c r="A8" s="274"/>
      <c r="B8" s="796"/>
      <c r="C8" s="282" t="s">
        <v>2947</v>
      </c>
      <c r="D8" s="283" t="s">
        <v>2952</v>
      </c>
      <c r="E8" s="282"/>
      <c r="F8" s="282" t="s">
        <v>2953</v>
      </c>
      <c r="G8" s="282" t="s">
        <v>2954</v>
      </c>
      <c r="H8" s="282" t="s">
        <v>1517</v>
      </c>
      <c r="I8" s="284" t="s">
        <v>2955</v>
      </c>
      <c r="J8" s="274"/>
    </row>
    <row r="9" spans="1:11" ht="35.25" customHeight="1" thickBot="1">
      <c r="A9" s="274"/>
      <c r="B9" s="796"/>
      <c r="C9" s="282" t="s">
        <v>1516</v>
      </c>
      <c r="D9" s="283" t="s">
        <v>1538</v>
      </c>
      <c r="E9" s="282"/>
      <c r="F9" s="282" t="s">
        <v>1517</v>
      </c>
      <c r="G9" s="282" t="s">
        <v>1518</v>
      </c>
      <c r="H9" s="282" t="s">
        <v>1519</v>
      </c>
      <c r="I9" s="284" t="s">
        <v>1520</v>
      </c>
      <c r="J9" s="274"/>
    </row>
    <row r="10" spans="1:11" ht="35.25" customHeight="1" thickBot="1">
      <c r="A10" s="274"/>
      <c r="B10" s="796"/>
      <c r="C10" s="282" t="s">
        <v>1521</v>
      </c>
      <c r="D10" s="283" t="s">
        <v>1539</v>
      </c>
      <c r="E10" s="282"/>
      <c r="F10" s="282" t="s">
        <v>1519</v>
      </c>
      <c r="G10" s="282" t="s">
        <v>1522</v>
      </c>
      <c r="H10" s="282" t="s">
        <v>1523</v>
      </c>
      <c r="I10" s="284" t="s">
        <v>1524</v>
      </c>
      <c r="J10" s="274"/>
    </row>
    <row r="11" spans="1:11" ht="35.25" customHeight="1" thickBot="1">
      <c r="A11" s="274"/>
      <c r="B11" s="797"/>
      <c r="C11" s="282" t="s">
        <v>1525</v>
      </c>
      <c r="D11" s="282" t="s">
        <v>1526</v>
      </c>
      <c r="E11" s="282"/>
      <c r="F11" s="282" t="s">
        <v>1527</v>
      </c>
      <c r="G11" s="282" t="s">
        <v>1528</v>
      </c>
      <c r="H11" s="282" t="s">
        <v>1529</v>
      </c>
      <c r="I11" s="284" t="s">
        <v>1530</v>
      </c>
      <c r="J11" s="274"/>
    </row>
    <row r="12" spans="1:11" ht="35.25" customHeight="1" thickBot="1">
      <c r="A12" s="274"/>
      <c r="B12" s="798" t="str">
        <f>'Used Language'!C43</f>
        <v>Low and Middle Income Countries</v>
      </c>
      <c r="C12" s="285" t="s">
        <v>2946</v>
      </c>
      <c r="D12" s="286" t="s">
        <v>2970</v>
      </c>
      <c r="E12" s="285" t="s">
        <v>2949</v>
      </c>
      <c r="F12" s="285" t="s">
        <v>1513</v>
      </c>
      <c r="G12" s="285" t="s">
        <v>1514</v>
      </c>
      <c r="H12" s="285" t="s">
        <v>1515</v>
      </c>
      <c r="I12" s="287" t="s">
        <v>2971</v>
      </c>
      <c r="J12" s="274"/>
    </row>
    <row r="13" spans="1:11" ht="35.25" customHeight="1" thickBot="1">
      <c r="A13" s="274"/>
      <c r="B13" s="799"/>
      <c r="C13" s="285" t="s">
        <v>2947</v>
      </c>
      <c r="D13" s="286" t="s">
        <v>2972</v>
      </c>
      <c r="E13" s="285" t="s">
        <v>2953</v>
      </c>
      <c r="F13" s="285" t="s">
        <v>1517</v>
      </c>
      <c r="G13" s="285" t="s">
        <v>1518</v>
      </c>
      <c r="H13" s="285" t="s">
        <v>1519</v>
      </c>
      <c r="I13" s="287" t="s">
        <v>1520</v>
      </c>
      <c r="J13" s="274"/>
    </row>
    <row r="14" spans="1:11" ht="35.25" customHeight="1" thickBot="1">
      <c r="A14" s="274"/>
      <c r="B14" s="799"/>
      <c r="C14" s="285" t="s">
        <v>1516</v>
      </c>
      <c r="D14" s="286" t="s">
        <v>1539</v>
      </c>
      <c r="E14" s="285" t="s">
        <v>1517</v>
      </c>
      <c r="F14" s="285" t="s">
        <v>1519</v>
      </c>
      <c r="G14" s="285" t="s">
        <v>1522</v>
      </c>
      <c r="H14" s="285" t="s">
        <v>1523</v>
      </c>
      <c r="I14" s="287" t="s">
        <v>1524</v>
      </c>
      <c r="J14" s="274"/>
    </row>
    <row r="15" spans="1:11" ht="35.25" customHeight="1" thickBot="1">
      <c r="A15" s="274"/>
      <c r="B15" s="799"/>
      <c r="C15" s="285" t="s">
        <v>1521</v>
      </c>
      <c r="D15" s="288" t="s">
        <v>1540</v>
      </c>
      <c r="E15" s="285" t="s">
        <v>1519</v>
      </c>
      <c r="F15" s="285" t="s">
        <v>1523</v>
      </c>
      <c r="G15" s="285" t="s">
        <v>1531</v>
      </c>
      <c r="H15" s="285" t="s">
        <v>1532</v>
      </c>
      <c r="I15" s="287" t="s">
        <v>1533</v>
      </c>
      <c r="J15" s="274"/>
    </row>
    <row r="16" spans="1:11" ht="35.25" customHeight="1" thickBot="1">
      <c r="A16" s="274"/>
      <c r="B16" s="800"/>
      <c r="C16" s="289" t="s">
        <v>1525</v>
      </c>
      <c r="D16" s="289" t="s">
        <v>1534</v>
      </c>
      <c r="E16" s="289" t="s">
        <v>1527</v>
      </c>
      <c r="F16" s="289" t="s">
        <v>1529</v>
      </c>
      <c r="G16" s="289" t="s">
        <v>1535</v>
      </c>
      <c r="H16" s="289" t="s">
        <v>1536</v>
      </c>
      <c r="I16" s="290" t="s">
        <v>1537</v>
      </c>
      <c r="J16" s="274"/>
    </row>
    <row r="17" spans="1:10" ht="19" thickTop="1">
      <c r="A17" s="274"/>
      <c r="B17" s="277"/>
      <c r="C17" s="278"/>
      <c r="D17" s="278"/>
      <c r="E17" s="277"/>
      <c r="F17" s="277"/>
      <c r="G17" s="277"/>
      <c r="H17" s="277"/>
      <c r="I17" s="277"/>
      <c r="J17" s="274"/>
    </row>
    <row r="18" spans="1:10" ht="59.5" customHeight="1">
      <c r="A18" s="274"/>
      <c r="B18" s="277"/>
      <c r="C18" s="276" t="s">
        <v>2946</v>
      </c>
      <c r="D18" s="794" t="str">
        <f>'Used Language'!C187</f>
        <v>World class leakage management performance; only marginal further reductions theoretically possible</v>
      </c>
      <c r="E18" s="794"/>
      <c r="F18" s="794"/>
      <c r="G18" s="794"/>
      <c r="H18" s="794"/>
      <c r="I18" s="794"/>
      <c r="J18" s="274"/>
    </row>
    <row r="19" spans="1:10" ht="60.65" customHeight="1">
      <c r="A19" s="274"/>
      <c r="B19" s="279"/>
      <c r="C19" s="276" t="s">
        <v>2947</v>
      </c>
      <c r="D19" s="794" t="str">
        <f>'Used Language'!C129</f>
        <v>Further loss reduction may be uneconomic unless there are shortages; careful analysis needed to identify cost effective improvement</v>
      </c>
      <c r="E19" s="794"/>
      <c r="F19" s="794"/>
      <c r="G19" s="794"/>
      <c r="H19" s="794"/>
      <c r="I19" s="794"/>
      <c r="J19" s="274"/>
    </row>
    <row r="20" spans="1:10" ht="61.15" customHeight="1">
      <c r="A20" s="274"/>
      <c r="B20" s="279"/>
      <c r="C20" s="276" t="s">
        <v>1516</v>
      </c>
      <c r="D20" s="794" t="str">
        <f>'Used Language'!C130</f>
        <v>Potential for marked improvements; consider   pressure management; better active leakage control practices, and better network maintenance</v>
      </c>
      <c r="E20" s="794"/>
      <c r="F20" s="794"/>
      <c r="G20" s="794"/>
      <c r="H20" s="794"/>
      <c r="I20" s="794"/>
      <c r="J20" s="274"/>
    </row>
    <row r="21" spans="1:10" ht="67.900000000000006" customHeight="1">
      <c r="A21" s="274"/>
      <c r="B21" s="279"/>
      <c r="C21" s="276" t="s">
        <v>1521</v>
      </c>
      <c r="D21" s="794" t="str">
        <f>'Used Language'!C131</f>
        <v>Poor leakage record; tolerable only if water is plentiful and cheap; even then, analyze level and nature of leakage and intensify leakage reduction efforts</v>
      </c>
      <c r="E21" s="794"/>
      <c r="F21" s="794"/>
      <c r="G21" s="794"/>
      <c r="H21" s="794"/>
      <c r="I21" s="794"/>
      <c r="J21" s="274"/>
    </row>
    <row r="22" spans="1:10" ht="47.5" customHeight="1">
      <c r="B22" s="279"/>
      <c r="C22" s="276" t="s">
        <v>1525</v>
      </c>
      <c r="D22" s="794" t="str">
        <f>'Used Language'!C132</f>
        <v>Horrendously inefficient use of resources; leakage reduction programs imperative and high priority</v>
      </c>
      <c r="E22" s="794"/>
      <c r="F22" s="794"/>
      <c r="G22" s="794"/>
      <c r="H22" s="794"/>
      <c r="I22" s="794"/>
    </row>
  </sheetData>
  <sheetProtection algorithmName="SHA-512" hashValue="0Q5ISr7jrAUj24f6+xZBrJd3ty/MhyS2uw0lFvh8IkSAOJAeMEplsubT6XZdM2H7IJ2tRWJ2+yzGMadVkv4olg==" saltValue="UgpIJyH+AC7Jqxya8OxM2g==" spinCount="100000" sheet="1" objects="1" scenarios="1"/>
  <mergeCells count="14">
    <mergeCell ref="K2:K3"/>
    <mergeCell ref="K5:K6"/>
    <mergeCell ref="D19:I19"/>
    <mergeCell ref="B2:I2"/>
    <mergeCell ref="B4:C6"/>
    <mergeCell ref="D4:D6"/>
    <mergeCell ref="E4:I4"/>
    <mergeCell ref="E5:I5"/>
    <mergeCell ref="D18:I18"/>
    <mergeCell ref="D21:I21"/>
    <mergeCell ref="D22:I22"/>
    <mergeCell ref="D20:I20"/>
    <mergeCell ref="B7:B11"/>
    <mergeCell ref="B12:B16"/>
  </mergeCells>
  <phoneticPr fontId="7" type="noConversion"/>
  <hyperlinks>
    <hyperlink ref="K2:K3" location="Start!A1" display="Home"/>
    <hyperlink ref="K5:K6" location="PIs!A1" display="Back to Indicators"/>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7">
    <pageSetUpPr fitToPage="1"/>
  </sheetPr>
  <dimension ref="A1:J24"/>
  <sheetViews>
    <sheetView topLeftCell="A2" workbookViewId="0">
      <selection activeCell="J5" sqref="J5:J6"/>
    </sheetView>
  </sheetViews>
  <sheetFormatPr baseColWidth="10" defaultColWidth="11.453125" defaultRowHeight="15.5"/>
  <cols>
    <col min="1" max="1" width="2.26953125" style="413" customWidth="1"/>
    <col min="2" max="2" width="14.54296875" style="413" customWidth="1"/>
    <col min="3" max="3" width="11.453125" style="414"/>
    <col min="4" max="8" width="14.1796875" style="413" customWidth="1"/>
    <col min="9" max="9" width="2.26953125" style="413" customWidth="1"/>
    <col min="10" max="10" width="25.54296875" style="413" customWidth="1"/>
    <col min="11" max="16384" width="11.453125" style="413"/>
  </cols>
  <sheetData>
    <row r="1" spans="1:10" ht="16" thickBot="1"/>
    <row r="2" spans="1:10" ht="22.15" customHeight="1" thickTop="1">
      <c r="B2" s="805" t="str">
        <f>'Used Language'!C193</f>
        <v>International NRW Assessment Matrix</v>
      </c>
      <c r="C2" s="806"/>
      <c r="D2" s="806"/>
      <c r="E2" s="806"/>
      <c r="F2" s="806"/>
      <c r="G2" s="806"/>
      <c r="H2" s="807"/>
      <c r="J2" s="801" t="str">
        <f>'Used Language'!C128</f>
        <v>Home</v>
      </c>
    </row>
    <row r="3" spans="1:10" ht="16.149999999999999" customHeight="1" thickBot="1">
      <c r="A3" s="415"/>
      <c r="B3" s="415"/>
      <c r="C3" s="416"/>
      <c r="D3" s="415"/>
      <c r="E3" s="415"/>
      <c r="F3" s="415"/>
      <c r="G3" s="415"/>
      <c r="H3" s="415"/>
      <c r="I3" s="415"/>
      <c r="J3" s="802"/>
    </row>
    <row r="4" spans="1:10" ht="19.5" thickTop="1" thickBot="1">
      <c r="A4" s="415"/>
      <c r="B4" s="808" t="str">
        <f>'Used Language'!C124</f>
        <v>Technical Performance Category</v>
      </c>
      <c r="C4" s="809"/>
      <c r="D4" s="823" t="str">
        <f>'Used Language'!C125</f>
        <v xml:space="preserve">Liters/connection/day </v>
      </c>
      <c r="E4" s="824"/>
      <c r="F4" s="824"/>
      <c r="G4" s="824"/>
      <c r="H4" s="825"/>
      <c r="I4" s="415"/>
    </row>
    <row r="5" spans="1:10" ht="33" customHeight="1" thickTop="1" thickBot="1">
      <c r="A5" s="415"/>
      <c r="B5" s="810"/>
      <c r="C5" s="811"/>
      <c r="D5" s="820" t="str">
        <f>'Used Language'!C126</f>
        <v>(when the system is pressurized) at an average pressure of:</v>
      </c>
      <c r="E5" s="821"/>
      <c r="F5" s="821"/>
      <c r="G5" s="821"/>
      <c r="H5" s="822"/>
      <c r="I5" s="415"/>
      <c r="J5" s="803" t="str">
        <f>'Used Language'!C127</f>
        <v>Back to Indicators</v>
      </c>
    </row>
    <row r="6" spans="1:10" ht="25.5" customHeight="1" thickBot="1">
      <c r="A6" s="415"/>
      <c r="B6" s="812"/>
      <c r="C6" s="813"/>
      <c r="D6" s="280" t="s">
        <v>1153</v>
      </c>
      <c r="E6" s="280" t="s">
        <v>1154</v>
      </c>
      <c r="F6" s="280" t="s">
        <v>1155</v>
      </c>
      <c r="G6" s="280" t="s">
        <v>1156</v>
      </c>
      <c r="H6" s="281" t="s">
        <v>1157</v>
      </c>
      <c r="I6" s="415"/>
      <c r="J6" s="804"/>
    </row>
    <row r="7" spans="1:10" ht="35.25" customHeight="1" thickBot="1">
      <c r="A7" s="415"/>
      <c r="B7" s="826" t="str">
        <f>'Used Language'!C42</f>
        <v>Standard</v>
      </c>
      <c r="C7" s="315" t="s">
        <v>2946</v>
      </c>
      <c r="D7" s="315"/>
      <c r="E7" s="315" t="s">
        <v>1513</v>
      </c>
      <c r="F7" s="315" t="s">
        <v>2957</v>
      </c>
      <c r="G7" s="315" t="s">
        <v>1514</v>
      </c>
      <c r="H7" s="316" t="s">
        <v>2958</v>
      </c>
      <c r="I7" s="415"/>
    </row>
    <row r="8" spans="1:10" ht="35.25" customHeight="1" thickBot="1">
      <c r="A8" s="415"/>
      <c r="B8" s="827"/>
      <c r="C8" s="315" t="s">
        <v>2947</v>
      </c>
      <c r="D8" s="315"/>
      <c r="E8" s="315" t="s">
        <v>1517</v>
      </c>
      <c r="F8" s="315" t="s">
        <v>2959</v>
      </c>
      <c r="G8" s="315" t="s">
        <v>1518</v>
      </c>
      <c r="H8" s="316" t="s">
        <v>2960</v>
      </c>
      <c r="I8" s="415"/>
    </row>
    <row r="9" spans="1:10" ht="35.25" customHeight="1" thickBot="1">
      <c r="A9" s="415"/>
      <c r="B9" s="827"/>
      <c r="C9" s="315" t="s">
        <v>1516</v>
      </c>
      <c r="D9" s="315"/>
      <c r="E9" s="315" t="s">
        <v>1519</v>
      </c>
      <c r="F9" s="315" t="s">
        <v>1520</v>
      </c>
      <c r="G9" s="315" t="s">
        <v>1522</v>
      </c>
      <c r="H9" s="316" t="s">
        <v>2961</v>
      </c>
      <c r="I9" s="415"/>
    </row>
    <row r="10" spans="1:10" ht="35.25" customHeight="1" thickBot="1">
      <c r="A10" s="415"/>
      <c r="B10" s="827"/>
      <c r="C10" s="315" t="s">
        <v>1521</v>
      </c>
      <c r="D10" s="315"/>
      <c r="E10" s="315" t="s">
        <v>2962</v>
      </c>
      <c r="F10" s="315" t="s">
        <v>2963</v>
      </c>
      <c r="G10" s="315" t="s">
        <v>2964</v>
      </c>
      <c r="H10" s="316" t="s">
        <v>2965</v>
      </c>
      <c r="I10" s="415"/>
    </row>
    <row r="11" spans="1:10" ht="35.25" customHeight="1" thickBot="1">
      <c r="A11" s="415"/>
      <c r="B11" s="828"/>
      <c r="C11" s="315" t="s">
        <v>1525</v>
      </c>
      <c r="D11" s="315"/>
      <c r="E11" s="315" t="s">
        <v>2966</v>
      </c>
      <c r="F11" s="315" t="s">
        <v>2967</v>
      </c>
      <c r="G11" s="315" t="s">
        <v>2968</v>
      </c>
      <c r="H11" s="316" t="s">
        <v>2969</v>
      </c>
      <c r="I11" s="415"/>
    </row>
    <row r="12" spans="1:10" ht="35.25" customHeight="1" thickBot="1">
      <c r="A12" s="415"/>
      <c r="B12" s="829" t="str">
        <f>'Used Language'!C43</f>
        <v>Low and Middle Income Countries</v>
      </c>
      <c r="C12" s="317" t="s">
        <v>2946</v>
      </c>
      <c r="D12" s="317" t="s">
        <v>2973</v>
      </c>
      <c r="E12" s="317" t="s">
        <v>2974</v>
      </c>
      <c r="F12" s="317" t="s">
        <v>2975</v>
      </c>
      <c r="G12" s="317" t="s">
        <v>2976</v>
      </c>
      <c r="H12" s="318" t="s">
        <v>2977</v>
      </c>
      <c r="I12" s="415"/>
    </row>
    <row r="13" spans="1:10" ht="35.25" customHeight="1" thickBot="1">
      <c r="A13" s="415"/>
      <c r="B13" s="830"/>
      <c r="C13" s="317" t="s">
        <v>2947</v>
      </c>
      <c r="D13" s="317" t="s">
        <v>2978</v>
      </c>
      <c r="E13" s="317" t="s">
        <v>2979</v>
      </c>
      <c r="F13" s="317" t="s">
        <v>2980</v>
      </c>
      <c r="G13" s="317" t="s">
        <v>2981</v>
      </c>
      <c r="H13" s="318" t="s">
        <v>2982</v>
      </c>
      <c r="I13" s="415"/>
    </row>
    <row r="14" spans="1:10" ht="35.25" customHeight="1" thickBot="1">
      <c r="A14" s="415"/>
      <c r="B14" s="830"/>
      <c r="C14" s="317" t="s">
        <v>1516</v>
      </c>
      <c r="D14" s="317" t="s">
        <v>2983</v>
      </c>
      <c r="E14" s="317" t="s">
        <v>2984</v>
      </c>
      <c r="F14" s="317" t="s">
        <v>2985</v>
      </c>
      <c r="G14" s="317" t="s">
        <v>2986</v>
      </c>
      <c r="H14" s="318" t="s">
        <v>2987</v>
      </c>
      <c r="I14" s="415"/>
    </row>
    <row r="15" spans="1:10" ht="35.25" customHeight="1" thickBot="1">
      <c r="A15" s="415"/>
      <c r="B15" s="830"/>
      <c r="C15" s="317" t="s">
        <v>1521</v>
      </c>
      <c r="D15" s="317" t="s">
        <v>2988</v>
      </c>
      <c r="E15" s="317" t="s">
        <v>2989</v>
      </c>
      <c r="F15" s="317" t="s">
        <v>2990</v>
      </c>
      <c r="G15" s="317" t="s">
        <v>2991</v>
      </c>
      <c r="H15" s="318" t="s">
        <v>2992</v>
      </c>
      <c r="I15" s="415"/>
    </row>
    <row r="16" spans="1:10" ht="35.25" customHeight="1" thickBot="1">
      <c r="A16" s="415"/>
      <c r="B16" s="831"/>
      <c r="C16" s="319" t="s">
        <v>1525</v>
      </c>
      <c r="D16" s="319" t="s">
        <v>1529</v>
      </c>
      <c r="E16" s="319" t="s">
        <v>1535</v>
      </c>
      <c r="F16" s="319" t="s">
        <v>1536</v>
      </c>
      <c r="G16" s="319" t="s">
        <v>1537</v>
      </c>
      <c r="H16" s="320" t="s">
        <v>2993</v>
      </c>
      <c r="I16" s="415"/>
    </row>
    <row r="17" spans="1:9" ht="19" thickTop="1">
      <c r="A17" s="415"/>
      <c r="B17" s="417"/>
      <c r="C17" s="418"/>
      <c r="D17" s="417"/>
      <c r="E17" s="417"/>
      <c r="F17" s="417"/>
      <c r="G17" s="417"/>
      <c r="H17" s="417"/>
      <c r="I17" s="415"/>
    </row>
    <row r="18" spans="1:9" s="297" customFormat="1" ht="90.65" customHeight="1">
      <c r="A18" s="294"/>
      <c r="B18" s="295"/>
      <c r="C18" s="296" t="s">
        <v>2946</v>
      </c>
      <c r="D18" s="794" t="str">
        <f>'Used Language'!C188</f>
        <v>World class NRW management performance; the potential for further NRW reductions is small unless there is still potential for pressure reduction or accuracy improvement of large customer meters</v>
      </c>
      <c r="E18" s="794"/>
      <c r="F18" s="794"/>
      <c r="G18" s="794"/>
      <c r="H18" s="794"/>
      <c r="I18" s="294"/>
    </row>
    <row r="19" spans="1:9" s="297" customFormat="1" ht="88.9" customHeight="1">
      <c r="A19" s="294"/>
      <c r="B19" s="295"/>
      <c r="C19" s="296" t="s">
        <v>2947</v>
      </c>
      <c r="D19" s="794" t="str">
        <f>'Used Language'!C189</f>
        <v xml:space="preserve">Further NRW reduction may be uneconomic unless there are water shortages or very high water tariffs; a detailed water audit is required to identify cost-effective improvements
</v>
      </c>
      <c r="E19" s="794"/>
      <c r="F19" s="794"/>
      <c r="G19" s="794"/>
      <c r="H19" s="794"/>
      <c r="I19" s="294"/>
    </row>
    <row r="20" spans="1:9" s="297" customFormat="1" ht="148.15" customHeight="1">
      <c r="A20" s="294"/>
      <c r="B20" s="295"/>
      <c r="C20" s="296" t="s">
        <v>1516</v>
      </c>
      <c r="D20" s="794"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794"/>
      <c r="F20" s="794"/>
      <c r="G20" s="794"/>
      <c r="H20" s="794"/>
      <c r="I20" s="294"/>
    </row>
    <row r="21" spans="1:9" s="297" customFormat="1" ht="96" customHeight="1">
      <c r="A21" s="294"/>
      <c r="B21" s="295"/>
      <c r="C21" s="296" t="s">
        <v>1521</v>
      </c>
      <c r="D21" s="794" t="str">
        <f>'Used Language'!C191</f>
        <v xml:space="preserve">Poor NRW record; tolerable only if water is plentiful and cheap; even then, analyze level and causes of NRW and intensify NRW reduction efforts
</v>
      </c>
      <c r="E21" s="794"/>
      <c r="F21" s="794"/>
      <c r="G21" s="794"/>
      <c r="H21" s="794"/>
      <c r="I21" s="294"/>
    </row>
    <row r="22" spans="1:9" s="297" customFormat="1" ht="60" customHeight="1">
      <c r="B22" s="295"/>
      <c r="C22" s="296" t="s">
        <v>1525</v>
      </c>
      <c r="D22" s="794" t="str">
        <f>'Used Language'!C192</f>
        <v>Highly inefficient; a comprehensive NRW reduction program is imperative and high-priority</v>
      </c>
      <c r="E22" s="794"/>
      <c r="F22" s="794"/>
      <c r="G22" s="794"/>
      <c r="H22" s="794"/>
    </row>
    <row r="23" spans="1:9" s="297" customFormat="1"/>
    <row r="24" spans="1:9" s="297" customFormat="1"/>
  </sheetData>
  <sheetProtection algorithmName="SHA-512" hashValue="uw36rMmghzfkzDFQocYxvCrSHSNKTsMl7kpSYJxQksSKoMMQlBl9sXGvwTzpNgEQCgCYhRfz/56cfiPXOdXVcA==" saltValue="bUAy2tpGaaBHidpunYKYtg==" spinCount="100000" sheet="1" objects="1" scenarios="1"/>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hyperlink ref="J5:J6" location="PIs!A1" display="Back to Indicators"/>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23</vt:i4>
      </vt:variant>
      <vt:variant>
        <vt:lpstr>Benannte Bereiche</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'Billed Cons'!Druckbereich</vt:lpstr>
      <vt:lpstr>'Financial Data'!Druckbereich</vt:lpstr>
      <vt:lpstr>'Intermittent Supply'!Druckbereich</vt:lpstr>
      <vt:lpstr>Matrix!Druckbereich</vt:lpstr>
      <vt:lpstr>'Matrix (2)'!Druckbereich</vt:lpstr>
      <vt:lpstr>'Meter Errors'!Druckbereich</vt:lpstr>
      <vt:lpstr>Network!Druckbereich</vt:lpstr>
      <vt:lpstr>PIs!Druckbereich</vt:lpstr>
      <vt:lpstr>Pressure!Druckbereich</vt:lpstr>
      <vt:lpstr>Start!Druckbereich</vt:lpstr>
      <vt:lpstr>'Sys. Input'!Druckbereich</vt:lpstr>
      <vt:lpstr>'Unauth. Cons.'!Druckbereich</vt:lpstr>
      <vt:lpstr>'Unb. Cons.'!Druckbereich</vt:lpstr>
      <vt:lpstr>'Used Language'!Druckbereich</vt:lpstr>
      <vt:lpstr>'Water Balance m3'!Druckbereich</vt:lpstr>
      <vt:lpstr>'Water Balance m3day'!Druckbereich</vt:lpstr>
      <vt:lpstr>'Water Balance m3year'!Druckbereich</vt:lpstr>
      <vt:lpstr>'Language 2'!OLE_LINK1</vt:lpstr>
    </vt:vector>
  </TitlesOfParts>
  <Company>Liemberger &amp; Partners GmbH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Roland Liemberger</cp:lastModifiedBy>
  <cp:lastPrinted>2009-03-26T15:09:15Z</cp:lastPrinted>
  <dcterms:created xsi:type="dcterms:W3CDTF">2006-02-18T04:05:42Z</dcterms:created>
  <dcterms:modified xsi:type="dcterms:W3CDTF">2018-08-10T19:32:34Z</dcterms:modified>
</cp:coreProperties>
</file>